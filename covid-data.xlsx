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69453c5d68a3451c/Documents/"/>
    </mc:Choice>
  </mc:AlternateContent>
  <xr:revisionPtr revIDLastSave="8" documentId="8_{84B3ADBA-EE99-4C70-9557-A157E65A5C37}" xr6:coauthVersionLast="47" xr6:coauthVersionMax="47" xr10:uidLastSave="{78A13825-4DA0-44CD-80E6-4964BA098B17}"/>
  <bookViews>
    <workbookView xWindow="-120" yWindow="-120" windowWidth="20730" windowHeight="11160" activeTab="10" xr2:uid="{B6C8A2C4-2542-46E5-9E16-848B96578CEF}"/>
  </bookViews>
  <sheets>
    <sheet name="Dashboard" sheetId="10" r:id="rId1"/>
    <sheet name="Total cases" sheetId="3" state="hidden" r:id="rId2"/>
    <sheet name="Recovered" sheetId="4" state="hidden" r:id="rId3"/>
    <sheet name="Death" sheetId="5" state="hidden" r:id="rId4"/>
    <sheet name="Active" sheetId="6" state="hidden" r:id="rId5"/>
    <sheet name="Active &amp; Death Cases" sheetId="8" state="hidden" r:id="rId6"/>
    <sheet name="Cases by zone" sheetId="7" state="hidden" r:id="rId7"/>
    <sheet name="Total &amp; Discharged" sheetId="9" state="hidden" r:id="rId8"/>
    <sheet name="Death Average" sheetId="15" state="hidden" r:id="rId9"/>
    <sheet name="Recovered Average" sheetId="16" state="hidden" r:id="rId10"/>
    <sheet name="Sheet1" sheetId="1" r:id="rId11"/>
  </sheets>
  <definedNames>
    <definedName name="_xlnm.Print_Area" localSheetId="0">Dashboard!$A$1:$W$39</definedName>
    <definedName name="Slicer_Death_Avg">#N/A</definedName>
    <definedName name="Slicer_Discharge_Avg">#N/A</definedName>
    <definedName name="Slicer_State_UTs">#N/A</definedName>
    <definedName name="Slicer_Zon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<sst xmlns="http://schemas.openxmlformats.org/spreadsheetml/2006/main" count="426" uniqueCount="77">
  <si>
    <t>State/UTs</t>
  </si>
  <si>
    <t>Zone</t>
  </si>
  <si>
    <t>Total Cases</t>
  </si>
  <si>
    <t>Active</t>
  </si>
  <si>
    <t>Discharged</t>
  </si>
  <si>
    <t>Deaths</t>
  </si>
  <si>
    <t>Active Ratio</t>
  </si>
  <si>
    <t>Discharge Ratio</t>
  </si>
  <si>
    <t>Discharge Avg</t>
  </si>
  <si>
    <t>Death Ratio</t>
  </si>
  <si>
    <t>Death Avg</t>
  </si>
  <si>
    <t>Population</t>
  </si>
  <si>
    <t>Andaman and Nicobar</t>
  </si>
  <si>
    <t>South</t>
  </si>
  <si>
    <t>Below Average</t>
  </si>
  <si>
    <t>Above Average</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</si>
  <si>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</si>
  <si>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</si>
  <si>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</si>
  <si>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</si>
  <si>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</si>
  <si>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</si>
  <si>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</si>
  <si>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</si>
  <si>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</si>
  <si>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</si>
  <si>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</si>
  <si>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</si>
  <si>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</si>
  <si>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</si>
  <si>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</si>
  <si>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</si>
  <si>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</si>
  <si>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</si>
  <si>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</si>
  <si>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</si>
  <si>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</si>
  <si>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</si>
  <si>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</si>
  <si>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</si>
  <si>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</si>
  <si>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</si>
  <si>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</si>
  <si>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</si>
  <si>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</si>
  <si>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</si>
  <si>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</si>
  <si>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</si>
  <si>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</si>
  <si>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</si>
  <si>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</si>
  <si>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</si>
  <si>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</si>
  <si>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</si>
  <si>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</si>
  <si>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</si>
  <si>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Sum of Total Cases</t>
  </si>
  <si>
    <t>Sum of Discharged</t>
  </si>
  <si>
    <t>Sum of Deaths</t>
  </si>
  <si>
    <t>Sum of Active</t>
  </si>
  <si>
    <t>Highest</t>
  </si>
  <si>
    <t>Least</t>
  </si>
  <si>
    <t>States</t>
  </si>
  <si>
    <t>Cases</t>
  </si>
  <si>
    <t>Recovered</t>
  </si>
  <si>
    <t>Recovered%</t>
  </si>
  <si>
    <t>Recovered %</t>
  </si>
  <si>
    <t>Sum of Discharge Ratio</t>
  </si>
  <si>
    <t>Death</t>
  </si>
  <si>
    <t>Death%</t>
  </si>
  <si>
    <t>Sum of Death Ratio</t>
  </si>
  <si>
    <t>Active%</t>
  </si>
  <si>
    <t>Sum of Active Ratio</t>
  </si>
  <si>
    <t>(All)</t>
  </si>
  <si>
    <t>Average of Death Ratio</t>
  </si>
  <si>
    <t>Average of Recovered %</t>
  </si>
  <si>
    <t xml:space="preserve"> Recovered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</si>
</sst>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b/>
      <sz val="11"/>
      <color theme="1"/>
      <name val="Times New Roman"/>
      <family val="1"/>
    </font>
    <font>
      <b/>
      <sz val="12"/>
      <color theme="1"/>
      <name val="Times New Roman"/>
      <family val="1"/>
    </font>
    <font>
      <b/>
      <sz val="12"/>
      <color rgb="FFC00000"/>
      <name val="Times New Roman"/>
      <family val="1"/>
    </font>
    <font>
      <b/>
      <sz val="12"/>
      <name val="Times New Roman"/>
      <family val="1"/>
    </font>
  </fonts>
  <fills count="7">
    <fill>
      <patternFill patternType="none"/>
    </fill>
    <fill>
      <patternFill patternType="gray125"/>
    </fill>
    <fill>
      <patternFill patternType="solid">
        <fgColor theme="8" tint="0.59999389629810485"/>
        <bgColor indexed="64"/>
      </patternFill>
    </fill>
    <fill>
      <patternFill patternType="solid">
        <fgColor rgb="FFFF0000"/>
        <bgColor indexed="64"/>
      </patternFill>
    </fill>
    <fill>
      <patternFill patternType="solid">
        <fgColor rgb="FF00B0F0"/>
        <bgColor indexed="64"/>
      </patternFill>
    </fill>
    <fill>
      <patternFill patternType="solid">
        <fgColor theme="7"/>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3" fillId="2" borderId="0" xfId="0" applyFont="1" applyFill="1"/>
    <xf numFmtId="3" fontId="0" fillId="0" borderId="0" xfId="0" applyNumberFormat="1"/>
    <xf numFmtId="0" fontId="2" fillId="5" borderId="0" xfId="0" applyFont="1" applyFill="1" applyAlignment="1">
      <alignment horizontal="center"/>
    </xf>
    <xf numFmtId="0" fontId="0" fillId="5" borderId="0" xfId="0" applyFill="1" applyAlignment="1">
      <alignment horizontal="center"/>
    </xf>
    <xf numFmtId="0" fontId="3" fillId="6" borderId="0" xfId="0" applyFont="1" applyFill="1" applyAlignment="1">
      <alignment horizontal="center"/>
    </xf>
    <xf numFmtId="0" fontId="5" fillId="3" borderId="0" xfId="0" applyFont="1" applyFill="1" applyAlignment="1">
      <alignment horizontal="center"/>
    </xf>
    <xf numFmtId="0" fontId="4" fillId="3" borderId="0" xfId="0" applyFont="1" applyFill="1" applyAlignment="1">
      <alignment horizontal="center"/>
    </xf>
    <xf numFmtId="0" fontId="3" fillId="4"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[covid-data.xlsx]Cases by zone!PivotTable12</c:name>
    <c:fmtId val="5"/>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200"/>
              <a:t>Cases</a:t>
            </a:r>
            <a:r>
              <a:rPr lang="en-US" sz="1200" baseline="0"/>
              <a:t> by Zone</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'Cases by zone'!$B$3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CA8-405B-8DDE-8A38E7A24F2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CA8-405B-8DDE-8A38E7A24F2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CA8-405B-8DDE-8A38E7A24F2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CA8-405B-8DDE-8A38E7A24F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'Cases by zone'!$A$4:$A$8</c:f>
              <c:strCache>
                <c:ptCount val="4"/>
                <c:pt idx="0">
                  <c:v>East</c:v>
                </c:pt>
                <c:pt idx="1">
                  <c:v>North</c:v>
                </c:pt>
                <c:pt idx="2">
                  <c:v>South</c:v>
                </c:pt>
                <c:pt idx="3">
                  <c:v>West</c:v>
                </c:pt>
              </c:strCache>
            </c:strRef>
          </c:cat>
          <c:val>
            <c:numRef>
              <c:f>'Cases by zone'!$B$4:$B$8</c:f>
              <c:numCache>
                <c:formatCode>0.00%</c:formatCode>
                <c:ptCount val="4"/>
                <c:pt idx="0">
                  <c:v>0.17088403573485</c:v>
                </c:pt>
                <c:pt idx="1">
                  <c:v>0.16014919517371087</c:v>
                </c:pt>
                <c:pt idx="2">
                  <c:v>0.39638807993900338</c:v>
                </c:pt>
                <c:pt idx="3">
                  <c:v>0.27257868915243577</c:v>
                </c:pt>
              </c:numCache>
            </c:numRef>
          </c:val>
          <c:extLst>
            <c:ext xmlns:c16="http://schemas.microsoft.com/office/drawing/2014/chart" uri="{C3380CC4-5D6E-409C-BE32-E72D297353CC}">
              <c16:uniqueId val="{00000008-1CA8-405B-8DDE-8A38E7A24F28}"/>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[covid-data.xlsx]Active &amp; Death Cases!PivotTable13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'Active &amp; Death Cases'!$B$3</c:f>
              <c:strCache>
                <c:ptCount val="1"/>
                <c:pt idx="0">
                  <c:v>Sum of Active</c:v>
                </c:pt>
              </c:strCache>
            </c:strRef>
          </c:tx>
          <c:spPr>
            <a:solidFill>
              <a:schemeClr val="accent1"/>
            </a:solidFill>
            <a:ln>
              <a:noFill/>
            </a:ln>
            <a:effectLst/>
          </c:spPr>
          <c:invertIfNegative val="0"/>
          <c:cat>
            <c:strRef>
              <c:f>'Active &amp; Death Cases'!$A$4:$A$40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&amp; Death Cases'!$B$4:$B$40</c:f>
              <c:numCache>
                <c:formatCode>General</c:formatCode>
                <c:ptCount val="36"/>
                <c:pt idx="0">
                  <c:v>7</c:v>
                </c:pt>
                <c:pt idx="1">
                  <c:v>3128</c:v>
                </c:pt>
                <c:pt idx="2">
                  <c:v>42</c:v>
                </c:pt>
                <c:pt idx="3">
                  <c:v>3272</c:v>
                </c:pt>
                <c:pt idx="4">
                  <c:v>29</c:v>
                </c:pt>
                <c:pt idx="5">
                  <c:v>24</c:v>
                </c:pt>
                <c:pt idx="6">
                  <c:v>230</c:v>
                </c:pt>
                <c:pt idx="7">
                  <c:v>0</c:v>
                </c:pt>
                <c:pt idx="8">
                  <c:v>361</c:v>
                </c:pt>
                <c:pt idx="9">
                  <c:v>263</c:v>
                </c:pt>
                <c:pt idx="10">
                  <c:v>226</c:v>
                </c:pt>
                <c:pt idx="11">
                  <c:v>140</c:v>
                </c:pt>
                <c:pt idx="12">
                  <c:v>1100</c:v>
                </c:pt>
                <c:pt idx="13">
                  <c:v>1450</c:v>
                </c:pt>
                <c:pt idx="14">
                  <c:v>141</c:v>
                </c:pt>
                <c:pt idx="15">
                  <c:v>8056</c:v>
                </c:pt>
                <c:pt idx="16">
                  <c:v>69258</c:v>
                </c:pt>
                <c:pt idx="17">
                  <c:v>154</c:v>
                </c:pt>
                <c:pt idx="18">
                  <c:v>0</c:v>
                </c:pt>
                <c:pt idx="19">
                  <c:v>75</c:v>
                </c:pt>
                <c:pt idx="20">
                  <c:v>15866</c:v>
                </c:pt>
                <c:pt idx="21">
                  <c:v>799</c:v>
                </c:pt>
                <c:pt idx="22">
                  <c:v>277</c:v>
                </c:pt>
                <c:pt idx="23">
                  <c:v>5651</c:v>
                </c:pt>
                <c:pt idx="24">
                  <c:v>163</c:v>
                </c:pt>
                <c:pt idx="25">
                  <c:v>2534</c:v>
                </c:pt>
                <c:pt idx="26">
                  <c:v>275</c:v>
                </c:pt>
                <c:pt idx="27">
                  <c:v>318</c:v>
                </c:pt>
                <c:pt idx="28">
                  <c:v>71</c:v>
                </c:pt>
                <c:pt idx="29">
                  <c:v>121</c:v>
                </c:pt>
                <c:pt idx="30">
                  <c:v>9751</c:v>
                </c:pt>
                <c:pt idx="31">
                  <c:v>3741</c:v>
                </c:pt>
                <c:pt idx="32">
                  <c:v>116</c:v>
                </c:pt>
                <c:pt idx="33">
                  <c:v>90</c:v>
                </c:pt>
                <c:pt idx="34">
                  <c:v>158</c:v>
                </c:pt>
                <c:pt idx="35">
                  <c:v>8031</c:v>
                </c:pt>
              </c:numCache>
            </c:numRef>
          </c:val>
          <c:extLst>
            <c:ext xmlns:c16="http://schemas.microsoft.com/office/drawing/2014/chart" uri="{C3380CC4-5D6E-409C-BE32-E72D297353CC}">
              <c16:uniqueId val="{00000000-B422-4A5C-AAEB-7B3FA862A416}"/>
            </c:ext>
          </c:extLst>
        </c:ser>
        <c:ser>
          <c:idx val="1"/>
          <c:order val="1"/>
          <c:tx>
            <c:strRef>
              <c:f>'Active &amp; Death Cases'!$C$3</c:f>
              <c:strCache>
                <c:ptCount val="1"/>
                <c:pt idx="0">
                  <c:v>Sum of Deaths</c:v>
                </c:pt>
              </c:strCache>
            </c:strRef>
          </c:tx>
          <c:spPr>
            <a:solidFill>
              <a:schemeClr val="accent2"/>
            </a:solidFill>
            <a:ln>
              <a:noFill/>
            </a:ln>
            <a:effectLst/>
          </c:spPr>
          <c:invertIfNegative val="0"/>
          <c:cat>
            <c:strRef>
              <c:f>'Active &amp; Death Cases'!$A$4:$A$40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&amp; Death Cases'!$C$4:$C$40</c:f>
              <c:numCache>
                <c:formatCode>General</c:formatCode>
                <c:ptCount val="36"/>
                <c:pt idx="0">
                  <c:v>129</c:v>
                </c:pt>
                <c:pt idx="1">
                  <c:v>14412</c:v>
                </c:pt>
                <c:pt idx="2">
                  <c:v>280</c:v>
                </c:pt>
                <c:pt idx="3">
                  <c:v>6047</c:v>
                </c:pt>
                <c:pt idx="4">
                  <c:v>9662</c:v>
                </c:pt>
                <c:pt idx="5">
                  <c:v>820</c:v>
                </c:pt>
                <c:pt idx="6">
                  <c:v>13588</c:v>
                </c:pt>
                <c:pt idx="7">
                  <c:v>4</c:v>
                </c:pt>
                <c:pt idx="8">
                  <c:v>25093</c:v>
                </c:pt>
                <c:pt idx="9">
                  <c:v>3374</c:v>
                </c:pt>
                <c:pt idx="10">
                  <c:v>10090</c:v>
                </c:pt>
                <c:pt idx="11">
                  <c:v>10050</c:v>
                </c:pt>
                <c:pt idx="12">
                  <c:v>3812</c:v>
                </c:pt>
                <c:pt idx="13">
                  <c:v>4448</c:v>
                </c:pt>
                <c:pt idx="14">
                  <c:v>5138</c:v>
                </c:pt>
                <c:pt idx="15">
                  <c:v>38143</c:v>
                </c:pt>
                <c:pt idx="16">
                  <c:v>35685</c:v>
                </c:pt>
                <c:pt idx="17">
                  <c:v>211</c:v>
                </c:pt>
                <c:pt idx="18">
                  <c:v>51</c:v>
                </c:pt>
                <c:pt idx="19">
                  <c:v>10524</c:v>
                </c:pt>
                <c:pt idx="20">
                  <c:v>140565</c:v>
                </c:pt>
                <c:pt idx="21">
                  <c:v>1946</c:v>
                </c:pt>
                <c:pt idx="22">
                  <c:v>1462</c:v>
                </c:pt>
                <c:pt idx="23">
                  <c:v>459</c:v>
                </c:pt>
                <c:pt idx="24">
                  <c:v>692</c:v>
                </c:pt>
                <c:pt idx="25">
                  <c:v>8375</c:v>
                </c:pt>
                <c:pt idx="26">
                  <c:v>1863</c:v>
                </c:pt>
                <c:pt idx="27">
                  <c:v>16571</c:v>
                </c:pt>
                <c:pt idx="28">
                  <c:v>8954</c:v>
                </c:pt>
                <c:pt idx="29">
                  <c:v>400</c:v>
                </c:pt>
                <c:pt idx="30">
                  <c:v>36273</c:v>
                </c:pt>
                <c:pt idx="31">
                  <c:v>3973</c:v>
                </c:pt>
                <c:pt idx="32">
                  <c:v>817</c:v>
                </c:pt>
                <c:pt idx="33">
                  <c:v>22909</c:v>
                </c:pt>
                <c:pt idx="34">
                  <c:v>7403</c:v>
                </c:pt>
                <c:pt idx="35">
                  <c:v>19307</c:v>
                </c:pt>
              </c:numCache>
            </c:numRef>
          </c:val>
          <c:extLst>
            <c:ext xmlns:c16="http://schemas.microsoft.com/office/drawing/2014/chart" uri="{C3380CC4-5D6E-409C-BE32-E72D297353CC}">
              <c16:uniqueId val="{00000001-B422-4A5C-AAEB-7B3FA862A416}"/>
            </c:ext>
          </c:extLst>
        </c:ser>
        <c:dLbls>
          <c:showLegendKey val="0"/>
          <c:showVal val="0"/>
          <c:showCatName val="0"/>
          <c:showSerName val="0"/>
          <c:showPercent val="0"/>
          <c:showBubbleSize val="0"/>
        </c:dLbls>
        <c:gapWidth val="219"/>
        <c:overlap val="-27"/>
        <c:axId val="551453184"/>
        <c:axId val="551451744"/>
      </c:barChart>
      <c:catAx>
        <c:axId val="5514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51744"/>
        <c:crosses val="autoZero"/>
        <c:auto val="1"/>
        <c:lblAlgn val="ctr"/>
        <c:lblOffset val="100"/>
        <c:noMultiLvlLbl val="0"/>
      </c:catAx>
      <c:valAx>
        <c:axId val="55145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5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[covid-data.xlsx]Total &amp; Discharged!PivotTable14</c:name>
    <c:fmtId val="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&amp; Discharged'!$B$3</c:f>
              <c:strCache>
                <c:ptCount val="1"/>
                <c:pt idx="0">
                  <c:v>Sum of Total Cases</c:v>
                </c:pt>
              </c:strCache>
            </c:strRef>
          </c:tx>
          <c:spPr>
            <a:solidFill>
              <a:schemeClr val="accent6"/>
            </a:solidFill>
            <a:ln>
              <a:noFill/>
            </a:ln>
            <a:effectLst/>
          </c:spPr>
          <c:invertIfNegative val="0"/>
          <c:cat>
            <c:strRef>
              <c:f>'Total &amp; Discharged'!$A$4:$A$40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'Total &amp; Discharged'!$B$4:$B$40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0-CD60-4256-90DD-7C9B47A9A53A}"/>
            </c:ext>
          </c:extLst>
        </c:ser>
        <c:ser>
          <c:idx val="1"/>
          <c:order val="1"/>
          <c:tx>
            <c:strRef>
              <c:f>'Total &amp; Discharged'!$C$3</c:f>
              <c:strCache>
                <c:ptCount val="1"/>
                <c:pt idx="0">
                  <c:v>Sum of Discharged</c:v>
                </c:pt>
              </c:strCache>
            </c:strRef>
          </c:tx>
          <c:spPr>
            <a:solidFill>
              <a:schemeClr val="accent5"/>
            </a:solidFill>
            <a:ln>
              <a:noFill/>
            </a:ln>
            <a:effectLst/>
          </c:spPr>
          <c:invertIfNegative val="0"/>
          <c:cat>
            <c:strRef>
              <c:f>'Total &amp; Discharged'!$A$4:$A$40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'Total &amp; Discharged'!$C$4:$C$40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1-CD60-4256-90DD-7C9B47A9A53A}"/>
            </c:ext>
          </c:extLst>
        </c:ser>
        <c:dLbls>
          <c:showLegendKey val="0"/>
          <c:showVal val="0"/>
          <c:showCatName val="0"/>
          <c:showSerName val="0"/>
          <c:showPercent val="0"/>
          <c:showBubbleSize val="0"/>
        </c:dLbls>
        <c:gapWidth val="219"/>
        <c:overlap val="-27"/>
        <c:axId val="601772776"/>
        <c:axId val="601773856"/>
      </c:barChart>
      <c:catAx>
        <c:axId val="60177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3856"/>
        <c:crosses val="autoZero"/>
        <c:auto val="1"/>
        <c:lblAlgn val="ctr"/>
        <c:lblOffset val="100"/>
        <c:noMultiLvlLbl val="0"/>
      </c:catAx>
      <c:valAx>
        <c:axId val="60177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2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[covid-data.xlsx]Death Average!PivotTable1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'Death Average'!$B$3</c:f>
              <c:strCache>
                <c:ptCount val="1"/>
                <c:pt idx="0">
                  <c:v>Total</c:v>
                </c:pt>
              </c:strCache>
            </c:strRef>
          </c:tx>
          <c:spPr>
            <a:solidFill>
              <a:schemeClr val="accent1"/>
            </a:solidFill>
            <a:ln>
              <a:noFill/>
            </a:ln>
            <a:effectLst/>
          </c:spPr>
          <c:invertIfNegative val="0"/>
          <c:cat>
            <c:strRef>
              <c:f>'Death Average'!$A$4:$A$40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Average'!$B$4:$B$40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0-A316-4A66-A5B5-A8D29CCB9329}"/>
            </c:ext>
          </c:extLst>
        </c:ser>
        <c:dLbls>
          <c:showLegendKey val="0"/>
          <c:showVal val="0"/>
          <c:showCatName val="0"/>
          <c:showSerName val="0"/>
          <c:showPercent val="0"/>
          <c:showBubbleSize val="0"/>
        </c:dLbls>
        <c:gapWidth val="219"/>
        <c:axId val="546086512"/>
        <c:axId val="357486688"/>
      </c:barChart>
      <c:catAx>
        <c:axId val="54608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86688"/>
        <c:crosses val="autoZero"/>
        <c:auto val="1"/>
        <c:lblAlgn val="ctr"/>
        <c:lblOffset val="100"/>
        <c:noMultiLvlLbl val="0"/>
      </c:catAx>
      <c:valAx>
        <c:axId val="35748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8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[covid-data.xlsx]Recovered Average!PivotTable1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'Recovered Average'!$B$3</c:f>
              <c:strCache>
                <c:ptCount val="1"/>
                <c:pt idx="0">
                  <c:v>Total</c:v>
                </c:pt>
              </c:strCache>
            </c:strRef>
          </c:tx>
          <c:spPr>
            <a:solidFill>
              <a:schemeClr val="accent1"/>
            </a:solidFill>
            <a:ln>
              <a:noFill/>
            </a:ln>
            <a:effectLst/>
          </c:spPr>
          <c:invertIfNegative val="0"/>
          <c:cat>
            <c:strRef>
              <c:f>'Recovered Average'!$A$4:$A$40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Average'!$B$4:$B$40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0-327E-41D7-B7B3-AF64196DDA18}"/>
            </c:ext>
          </c:extLst>
        </c:ser>
        <c:dLbls>
          <c:showLegendKey val="0"/>
          <c:showVal val="0"/>
          <c:showCatName val="0"/>
          <c:showSerName val="0"/>
          <c:showPercent val="0"/>
          <c:showBubbleSize val="0"/>
        </c:dLbls>
        <c:gapWidth val="182"/>
        <c:axId val="611165592"/>
        <c:axId val="611164512"/>
      </c:barChart>
      <c:catAx>
        <c:axId val="611165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64512"/>
        <c:crosses val="autoZero"/>
        <c:auto val="1"/>
        <c:lblAlgn val="ctr"/>
        <c:lblOffset val="100"/>
        <c:noMultiLvlLbl val="0"/>
      </c:catAx>
      <c:valAx>
        <c:axId val="61116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65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[covid-data.xlsx]Active &amp; Death Cases!PivotTable13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'Active &amp; Death Cases'!$B$3</c:f>
              <c:strCache>
                <c:ptCount val="1"/>
                <c:pt idx="0">
                  <c:v>Sum of Active</c:v>
                </c:pt>
              </c:strCache>
            </c:strRef>
          </c:tx>
          <c:spPr>
            <a:solidFill>
              <a:schemeClr val="accent1"/>
            </a:solidFill>
            <a:ln>
              <a:noFill/>
            </a:ln>
            <a:effectLst/>
          </c:spPr>
          <c:invertIfNegative val="0"/>
          <c:cat>
            <c:strRef>
              <c:f>'Active &amp; Death Cases'!$A$4:$A$40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&amp; Death Cases'!$B$4:$B$40</c:f>
              <c:numCache>
                <c:formatCode>General</c:formatCode>
                <c:ptCount val="36"/>
                <c:pt idx="0">
                  <c:v>7</c:v>
                </c:pt>
                <c:pt idx="1">
                  <c:v>3128</c:v>
                </c:pt>
                <c:pt idx="2">
                  <c:v>42</c:v>
                </c:pt>
                <c:pt idx="3">
                  <c:v>3272</c:v>
                </c:pt>
                <c:pt idx="4">
                  <c:v>29</c:v>
                </c:pt>
                <c:pt idx="5">
                  <c:v>24</c:v>
                </c:pt>
                <c:pt idx="6">
                  <c:v>230</c:v>
                </c:pt>
                <c:pt idx="7">
                  <c:v>0</c:v>
                </c:pt>
                <c:pt idx="8">
                  <c:v>361</c:v>
                </c:pt>
                <c:pt idx="9">
                  <c:v>263</c:v>
                </c:pt>
                <c:pt idx="10">
                  <c:v>226</c:v>
                </c:pt>
                <c:pt idx="11">
                  <c:v>140</c:v>
                </c:pt>
                <c:pt idx="12">
                  <c:v>1100</c:v>
                </c:pt>
                <c:pt idx="13">
                  <c:v>1450</c:v>
                </c:pt>
                <c:pt idx="14">
                  <c:v>141</c:v>
                </c:pt>
                <c:pt idx="15">
                  <c:v>8056</c:v>
                </c:pt>
                <c:pt idx="16">
                  <c:v>69258</c:v>
                </c:pt>
                <c:pt idx="17">
                  <c:v>154</c:v>
                </c:pt>
                <c:pt idx="18">
                  <c:v>0</c:v>
                </c:pt>
                <c:pt idx="19">
                  <c:v>75</c:v>
                </c:pt>
                <c:pt idx="20">
                  <c:v>15866</c:v>
                </c:pt>
                <c:pt idx="21">
                  <c:v>799</c:v>
                </c:pt>
                <c:pt idx="22">
                  <c:v>277</c:v>
                </c:pt>
                <c:pt idx="23">
                  <c:v>5651</c:v>
                </c:pt>
                <c:pt idx="24">
                  <c:v>163</c:v>
                </c:pt>
                <c:pt idx="25">
                  <c:v>2534</c:v>
                </c:pt>
                <c:pt idx="26">
                  <c:v>275</c:v>
                </c:pt>
                <c:pt idx="27">
                  <c:v>318</c:v>
                </c:pt>
                <c:pt idx="28">
                  <c:v>71</c:v>
                </c:pt>
                <c:pt idx="29">
                  <c:v>121</c:v>
                </c:pt>
                <c:pt idx="30">
                  <c:v>9751</c:v>
                </c:pt>
                <c:pt idx="31">
                  <c:v>3741</c:v>
                </c:pt>
                <c:pt idx="32">
                  <c:v>116</c:v>
                </c:pt>
                <c:pt idx="33">
                  <c:v>90</c:v>
                </c:pt>
                <c:pt idx="34">
                  <c:v>158</c:v>
                </c:pt>
                <c:pt idx="35">
                  <c:v>8031</c:v>
                </c:pt>
              </c:numCache>
            </c:numRef>
          </c:val>
          <c:extLst>
            <c:ext xmlns:c16="http://schemas.microsoft.com/office/drawing/2014/chart" uri="{C3380CC4-5D6E-409C-BE32-E72D297353CC}">
              <c16:uniqueId val="{00000000-BB03-46FD-A132-D4FDB6A56425}"/>
            </c:ext>
          </c:extLst>
        </c:ser>
        <c:ser>
          <c:idx val="1"/>
          <c:order val="1"/>
          <c:tx>
            <c:strRef>
              <c:f>'Active &amp; Death Cases'!$C$3</c:f>
              <c:strCache>
                <c:ptCount val="1"/>
                <c:pt idx="0">
                  <c:v>Sum of Deaths</c:v>
                </c:pt>
              </c:strCache>
            </c:strRef>
          </c:tx>
          <c:spPr>
            <a:solidFill>
              <a:schemeClr val="accent2"/>
            </a:solidFill>
            <a:ln>
              <a:noFill/>
            </a:ln>
            <a:effectLst/>
          </c:spPr>
          <c:invertIfNegative val="0"/>
          <c:cat>
            <c:strRef>
              <c:f>'Active &amp; Death Cases'!$A$4:$A$40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&amp; Death Cases'!$C$4:$C$40</c:f>
              <c:numCache>
                <c:formatCode>General</c:formatCode>
                <c:ptCount val="36"/>
                <c:pt idx="0">
                  <c:v>129</c:v>
                </c:pt>
                <c:pt idx="1">
                  <c:v>14412</c:v>
                </c:pt>
                <c:pt idx="2">
                  <c:v>280</c:v>
                </c:pt>
                <c:pt idx="3">
                  <c:v>6047</c:v>
                </c:pt>
                <c:pt idx="4">
                  <c:v>9662</c:v>
                </c:pt>
                <c:pt idx="5">
                  <c:v>820</c:v>
                </c:pt>
                <c:pt idx="6">
                  <c:v>13588</c:v>
                </c:pt>
                <c:pt idx="7">
                  <c:v>4</c:v>
                </c:pt>
                <c:pt idx="8">
                  <c:v>25093</c:v>
                </c:pt>
                <c:pt idx="9">
                  <c:v>3374</c:v>
                </c:pt>
                <c:pt idx="10">
                  <c:v>10090</c:v>
                </c:pt>
                <c:pt idx="11">
                  <c:v>10050</c:v>
                </c:pt>
                <c:pt idx="12">
                  <c:v>3812</c:v>
                </c:pt>
                <c:pt idx="13">
                  <c:v>4448</c:v>
                </c:pt>
                <c:pt idx="14">
                  <c:v>5138</c:v>
                </c:pt>
                <c:pt idx="15">
                  <c:v>38143</c:v>
                </c:pt>
                <c:pt idx="16">
                  <c:v>35685</c:v>
                </c:pt>
                <c:pt idx="17">
                  <c:v>211</c:v>
                </c:pt>
                <c:pt idx="18">
                  <c:v>51</c:v>
                </c:pt>
                <c:pt idx="19">
                  <c:v>10524</c:v>
                </c:pt>
                <c:pt idx="20">
                  <c:v>140565</c:v>
                </c:pt>
                <c:pt idx="21">
                  <c:v>1946</c:v>
                </c:pt>
                <c:pt idx="22">
                  <c:v>1462</c:v>
                </c:pt>
                <c:pt idx="23">
                  <c:v>459</c:v>
                </c:pt>
                <c:pt idx="24">
                  <c:v>692</c:v>
                </c:pt>
                <c:pt idx="25">
                  <c:v>8375</c:v>
                </c:pt>
                <c:pt idx="26">
                  <c:v>1863</c:v>
                </c:pt>
                <c:pt idx="27">
                  <c:v>16571</c:v>
                </c:pt>
                <c:pt idx="28">
                  <c:v>8954</c:v>
                </c:pt>
                <c:pt idx="29">
                  <c:v>400</c:v>
                </c:pt>
                <c:pt idx="30">
                  <c:v>36273</c:v>
                </c:pt>
                <c:pt idx="31">
                  <c:v>3973</c:v>
                </c:pt>
                <c:pt idx="32">
                  <c:v>817</c:v>
                </c:pt>
                <c:pt idx="33">
                  <c:v>22909</c:v>
                </c:pt>
                <c:pt idx="34">
                  <c:v>7403</c:v>
                </c:pt>
                <c:pt idx="35">
                  <c:v>19307</c:v>
                </c:pt>
              </c:numCache>
            </c:numRef>
          </c:val>
          <c:extLst>
            <c:ext xmlns:c16="http://schemas.microsoft.com/office/drawing/2014/chart" uri="{C3380CC4-5D6E-409C-BE32-E72D297353CC}">
              <c16:uniqueId val="{00000001-BB03-46FD-A132-D4FDB6A56425}"/>
            </c:ext>
          </c:extLst>
        </c:ser>
        <c:dLbls>
          <c:showLegendKey val="0"/>
          <c:showVal val="0"/>
          <c:showCatName val="0"/>
          <c:showSerName val="0"/>
          <c:showPercent val="0"/>
          <c:showBubbleSize val="0"/>
        </c:dLbls>
        <c:gapWidth val="219"/>
        <c:overlap val="-27"/>
        <c:axId val="551453184"/>
        <c:axId val="551451744"/>
      </c:barChart>
      <c:catAx>
        <c:axId val="5514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51744"/>
        <c:crosses val="autoZero"/>
        <c:auto val="1"/>
        <c:lblAlgn val="ctr"/>
        <c:lblOffset val="100"/>
        <c:noMultiLvlLbl val="0"/>
      </c:catAx>
      <c:valAx>
        <c:axId val="55145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5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[covid-data.xlsx]Cases by zone!PivotTable12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'Cases by zone'!$B$3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24C-4AE4-A0F1-85493D46877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24C-4AE4-A0F1-85493D46877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24C-4AE4-A0F1-85493D46877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24C-4AE4-A0F1-85493D4687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'Cases by zone'!$A$4:$A$8</c:f>
              <c:strCache>
                <c:ptCount val="4"/>
                <c:pt idx="0">
                  <c:v>East</c:v>
                </c:pt>
                <c:pt idx="1">
                  <c:v>North</c:v>
                </c:pt>
                <c:pt idx="2">
                  <c:v>South</c:v>
                </c:pt>
                <c:pt idx="3">
                  <c:v>West</c:v>
                </c:pt>
              </c:strCache>
            </c:strRef>
          </c:cat>
          <c:val>
            <c:numRef>
              <c:f>'Cases by zone'!$B$4:$B$8</c:f>
              <c:numCache>
                <c:formatCode>0.00%</c:formatCode>
                <c:ptCount val="4"/>
                <c:pt idx="0">
                  <c:v>0.17088403573485</c:v>
                </c:pt>
                <c:pt idx="1">
                  <c:v>0.16014919517371087</c:v>
                </c:pt>
                <c:pt idx="2">
                  <c:v>0.39638807993900338</c:v>
                </c:pt>
                <c:pt idx="3">
                  <c:v>0.27257868915243577</c:v>
                </c:pt>
              </c:numCache>
            </c:numRef>
          </c:val>
          <c:extLst>
            <c:ext xmlns:c16="http://schemas.microsoft.com/office/drawing/2014/chart" uri="{C3380CC4-5D6E-409C-BE32-E72D297353CC}">
              <c16:uniqueId val="{00000000-26D0-491E-A2FD-30B398D2E62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[covid-data.xlsx]Total &amp; Discharged!PivotTable14</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&amp; Discharged'!$B$3</c:f>
              <c:strCache>
                <c:ptCount val="1"/>
                <c:pt idx="0">
                  <c:v>Sum of Total Cases</c:v>
                </c:pt>
              </c:strCache>
            </c:strRef>
          </c:tx>
          <c:spPr>
            <a:solidFill>
              <a:schemeClr val="accent6"/>
            </a:solidFill>
            <a:ln>
              <a:noFill/>
            </a:ln>
            <a:effectLst/>
          </c:spPr>
          <c:invertIfNegative val="0"/>
          <c:cat>
            <c:strRef>
              <c:f>'Total &amp; Discharged'!$A$4:$A$40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'Total &amp; Discharged'!$B$4:$B$40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0-E127-49CD-8C35-2A507A15821B}"/>
            </c:ext>
          </c:extLst>
        </c:ser>
        <c:ser>
          <c:idx val="1"/>
          <c:order val="1"/>
          <c:tx>
            <c:strRef>
              <c:f>'Total &amp; Discharged'!$C$3</c:f>
              <c:strCache>
                <c:ptCount val="1"/>
                <c:pt idx="0">
                  <c:v>Sum of Discharged</c:v>
                </c:pt>
              </c:strCache>
            </c:strRef>
          </c:tx>
          <c:spPr>
            <a:solidFill>
              <a:schemeClr val="accent5"/>
            </a:solidFill>
            <a:ln>
              <a:noFill/>
            </a:ln>
            <a:effectLst/>
          </c:spPr>
          <c:invertIfNegative val="0"/>
          <c:cat>
            <c:strRef>
              <c:f>'Total &amp; Discharged'!$A$4:$A$40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'Total &amp; Discharged'!$C$4:$C$40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1-E127-49CD-8C35-2A507A15821B}"/>
            </c:ext>
          </c:extLst>
        </c:ser>
        <c:dLbls>
          <c:showLegendKey val="0"/>
          <c:showVal val="0"/>
          <c:showCatName val="0"/>
          <c:showSerName val="0"/>
          <c:showPercent val="0"/>
          <c:showBubbleSize val="0"/>
        </c:dLbls>
        <c:gapWidth val="219"/>
        <c:overlap val="-27"/>
        <c:axId val="601772776"/>
        <c:axId val="601773856"/>
      </c:barChart>
      <c:catAx>
        <c:axId val="60177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3856"/>
        <c:crosses val="autoZero"/>
        <c:auto val="1"/>
        <c:lblAlgn val="ctr"/>
        <c:lblOffset val="100"/>
        <c:noMultiLvlLbl val="0"/>
      </c:catAx>
      <c:valAx>
        <c:axId val="60177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2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[covid-data.xlsx]Death Average!PivotTable1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'Death Average'!$B$3</c:f>
              <c:strCache>
                <c:ptCount val="1"/>
                <c:pt idx="0">
                  <c:v>Total</c:v>
                </c:pt>
              </c:strCache>
            </c:strRef>
          </c:tx>
          <c:spPr>
            <a:solidFill>
              <a:schemeClr val="accent1"/>
            </a:solidFill>
            <a:ln>
              <a:noFill/>
            </a:ln>
            <a:effectLst/>
          </c:spPr>
          <c:invertIfNegative val="0"/>
          <c:cat>
            <c:strRef>
              <c:f>'Death Average'!$A$4:$A$40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Average'!$B$4:$B$40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0-67A9-4CF3-AF15-15061AD5B141}"/>
            </c:ext>
          </c:extLst>
        </c:ser>
        <c:dLbls>
          <c:showLegendKey val="0"/>
          <c:showVal val="0"/>
          <c:showCatName val="0"/>
          <c:showSerName val="0"/>
          <c:showPercent val="0"/>
          <c:showBubbleSize val="0"/>
        </c:dLbls>
        <c:gapWidth val="219"/>
        <c:axId val="546086512"/>
        <c:axId val="357486688"/>
      </c:barChart>
      <c:catAx>
        <c:axId val="54608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86688"/>
        <c:crosses val="autoZero"/>
        <c:auto val="1"/>
        <c:lblAlgn val="ctr"/>
        <c:lblOffset val="100"/>
        <c:noMultiLvlLbl val="0"/>
      </c:catAx>
      <c:valAx>
        <c:axId val="35748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8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[covid-data.xlsx]Recovered Average!PivotTable1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'Recovered Average'!$B$3</c:f>
              <c:strCache>
                <c:ptCount val="1"/>
                <c:pt idx="0">
                  <c:v>Total</c:v>
                </c:pt>
              </c:strCache>
            </c:strRef>
          </c:tx>
          <c:spPr>
            <a:solidFill>
              <a:schemeClr val="accent1"/>
            </a:solidFill>
            <a:ln>
              <a:noFill/>
            </a:ln>
            <a:effectLst/>
          </c:spPr>
          <c:invertIfNegative val="0"/>
          <c:cat>
            <c:strRef>
              <c:f>'Recovered Average'!$A$4:$A$40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Average'!$B$4:$B$40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0-1A54-4411-B37E-55DFA18C28E8}"/>
            </c:ext>
          </c:extLst>
        </c:ser>
        <c:dLbls>
          <c:showLegendKey val="0"/>
          <c:showVal val="0"/>
          <c:showCatName val="0"/>
          <c:showSerName val="0"/>
          <c:showPercent val="0"/>
          <c:showBubbleSize val="0"/>
        </c:dLbls>
        <c:gapWidth val="182"/>
        <c:axId val="611165592"/>
        <c:axId val="611164512"/>
      </c:barChart>
      <c:catAx>
        <c:axId val="611165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64512"/>
        <c:crosses val="autoZero"/>
        <c:auto val="1"/>
        <c:lblAlgn val="ctr"/>
        <c:lblOffset val="100"/>
        <c:noMultiLvlLbl val="0"/>
      </c:catAx>
      <c:valAx>
        <c:axId val="61116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65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190500</xdr:colOff>
      <xdr:row>2</xdr:row>
      <xdr:rowOff>180974</xdr:rowOff>
    </xdr:to>
    <xdr:sp macro="" textlink="">
      <xdr:nvSpPr>
        <xdr:cNvPr id="2" name="Rectangle: Rounded Corners 1">
          <a:extLst>
            <a:ext uri="{FF2B5EF4-FFF2-40B4-BE49-F238E27FC236}">
              <a16:creationId xmlns:a16="http://schemas.microsoft.com/office/drawing/2014/main" id="{6B12AB7C-5E5F-4D2C-CDFB-A12A686B95C1}"/>
            </a:ext>
          </a:extLst>
        </xdr:cNvPr>
        <xdr:cNvSpPr/>
      </xdr:nvSpPr>
      <xdr:spPr>
        <a:xfrm>
          <a:off x="0" y="0"/>
          <a:ext cx="3510643" cy="561974"/>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ysClr val="windowText" lastClr="000000"/>
              </a:solidFill>
              <a:latin typeface="Times New Roman" panose="02020603050405020304" pitchFamily="18" charset="0"/>
              <a:cs typeface="Times New Roman" panose="02020603050405020304" pitchFamily="18" charset="0"/>
            </a:rPr>
            <a:t>Covid-19 Data: India</a:t>
          </a:r>
        </a:p>
      </xdr:txBody>
    </xdr:sp>
    <xdr:clientData/>
  </xdr:twoCellAnchor>
  <xdr:twoCellAnchor>
    <xdr:from>
      <xdr:col>3</xdr:col>
      <xdr:colOff>200025</xdr:colOff>
      <xdr:row>0</xdr:row>
      <xdr:rowOff>0</xdr:rowOff>
    </xdr:from>
    <xdr:to>
      <xdr:col>5</xdr:col>
      <xdr:colOff>0</xdr:colOff>
      <xdr:row>2</xdr:row>
      <xdr:rowOff>180974</xdr:rowOff>
    </xdr:to>
    <xdr:sp macro="" textlink="">
      <xdr:nvSpPr>
        <xdr:cNvPr id="3" name="Rectangle: Rounded Corners 2">
          <a:extLst>
            <a:ext uri="{FF2B5EF4-FFF2-40B4-BE49-F238E27FC236}">
              <a16:creationId xmlns:a16="http://schemas.microsoft.com/office/drawing/2014/main" id="{E143E638-F8A3-4AD8-B6DC-D8E752F8082F}"/>
            </a:ext>
          </a:extLst>
        </xdr:cNvPr>
        <xdr:cNvSpPr/>
      </xdr:nvSpPr>
      <xdr:spPr>
        <a:xfrm>
          <a:off x="2028825" y="0"/>
          <a:ext cx="1019175" cy="561974"/>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Times New Roman" panose="02020603050405020304" pitchFamily="18" charset="0"/>
              <a:cs typeface="Times New Roman" panose="02020603050405020304" pitchFamily="18" charset="0"/>
            </a:rPr>
            <a:t>Total</a:t>
          </a:r>
          <a:r>
            <a:rPr lang="en-IN" sz="1200" b="1" baseline="0">
              <a:solidFill>
                <a:sysClr val="windowText" lastClr="000000"/>
              </a:solidFill>
              <a:latin typeface="Times New Roman" panose="02020603050405020304" pitchFamily="18" charset="0"/>
              <a:cs typeface="Times New Roman" panose="02020603050405020304" pitchFamily="18" charset="0"/>
            </a:rPr>
            <a:t> Cases</a:t>
          </a:r>
        </a:p>
        <a:p>
          <a:pPr algn="ctr"/>
          <a:r>
            <a:rPr lang="en-IN" sz="1200" b="1" baseline="0">
              <a:solidFill>
                <a:sysClr val="windowText" lastClr="000000"/>
              </a:solidFill>
              <a:latin typeface="Times New Roman" panose="02020603050405020304" pitchFamily="18" charset="0"/>
              <a:cs typeface="Times New Roman" panose="02020603050405020304" pitchFamily="18" charset="0"/>
            </a:rPr>
            <a:t>3.44 Cr</a:t>
          </a:r>
          <a:endParaRPr lang="en-IN"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9525</xdr:colOff>
      <xdr:row>0</xdr:row>
      <xdr:rowOff>0</xdr:rowOff>
    </xdr:from>
    <xdr:to>
      <xdr:col>6</xdr:col>
      <xdr:colOff>419100</xdr:colOff>
      <xdr:row>2</xdr:row>
      <xdr:rowOff>180974</xdr:rowOff>
    </xdr:to>
    <xdr:sp macro="" textlink="">
      <xdr:nvSpPr>
        <xdr:cNvPr id="7" name="Rectangle: Rounded Corners 6">
          <a:extLst>
            <a:ext uri="{FF2B5EF4-FFF2-40B4-BE49-F238E27FC236}">
              <a16:creationId xmlns:a16="http://schemas.microsoft.com/office/drawing/2014/main" id="{E0918A32-FD0A-423B-9F9D-A21D43C5C1D6}"/>
            </a:ext>
          </a:extLst>
        </xdr:cNvPr>
        <xdr:cNvSpPr/>
      </xdr:nvSpPr>
      <xdr:spPr>
        <a:xfrm>
          <a:off x="3057525" y="0"/>
          <a:ext cx="1019175" cy="561974"/>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Times New Roman" panose="02020603050405020304" pitchFamily="18" charset="0"/>
              <a:cs typeface="Times New Roman" panose="02020603050405020304" pitchFamily="18" charset="0"/>
            </a:rPr>
            <a:t>Recovered</a:t>
          </a:r>
        </a:p>
        <a:p>
          <a:pPr algn="ctr"/>
          <a:r>
            <a:rPr lang="en-IN" sz="1200" b="1">
              <a:solidFill>
                <a:sysClr val="windowText" lastClr="000000"/>
              </a:solidFill>
              <a:latin typeface="Times New Roman" panose="02020603050405020304" pitchFamily="18" charset="0"/>
              <a:cs typeface="Times New Roman" panose="02020603050405020304" pitchFamily="18" charset="0"/>
            </a:rPr>
            <a:t>98.3%</a:t>
          </a:r>
        </a:p>
      </xdr:txBody>
    </xdr:sp>
    <xdr:clientData/>
  </xdr:twoCellAnchor>
  <xdr:twoCellAnchor>
    <xdr:from>
      <xdr:col>6</xdr:col>
      <xdr:colOff>428625</xdr:colOff>
      <xdr:row>0</xdr:row>
      <xdr:rowOff>0</xdr:rowOff>
    </xdr:from>
    <xdr:to>
      <xdr:col>8</xdr:col>
      <xdr:colOff>228600</xdr:colOff>
      <xdr:row>2</xdr:row>
      <xdr:rowOff>180974</xdr:rowOff>
    </xdr:to>
    <xdr:sp macro="" textlink="">
      <xdr:nvSpPr>
        <xdr:cNvPr id="8" name="Rectangle: Rounded Corners 7">
          <a:extLst>
            <a:ext uri="{FF2B5EF4-FFF2-40B4-BE49-F238E27FC236}">
              <a16:creationId xmlns:a16="http://schemas.microsoft.com/office/drawing/2014/main" id="{E81B5A5E-B10B-426A-A65D-E28FE9BA4B9E}"/>
            </a:ext>
          </a:extLst>
        </xdr:cNvPr>
        <xdr:cNvSpPr/>
      </xdr:nvSpPr>
      <xdr:spPr>
        <a:xfrm>
          <a:off x="4086225" y="0"/>
          <a:ext cx="1019175" cy="561974"/>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Times New Roman" panose="02020603050405020304" pitchFamily="18" charset="0"/>
              <a:cs typeface="Times New Roman" panose="02020603050405020304" pitchFamily="18" charset="0"/>
            </a:rPr>
            <a:t>Death</a:t>
          </a:r>
        </a:p>
        <a:p>
          <a:pPr algn="ctr"/>
          <a:r>
            <a:rPr lang="en-IN" sz="1200" b="1">
              <a:solidFill>
                <a:sysClr val="windowText" lastClr="000000"/>
              </a:solidFill>
              <a:latin typeface="Times New Roman" panose="02020603050405020304" pitchFamily="18" charset="0"/>
              <a:cs typeface="Times New Roman" panose="02020603050405020304" pitchFamily="18" charset="0"/>
            </a:rPr>
            <a:t>1.3</a:t>
          </a:r>
          <a:r>
            <a:rPr lang="en-IN" sz="1200" b="1" baseline="0">
              <a:solidFill>
                <a:sysClr val="windowText" lastClr="000000"/>
              </a:solidFill>
              <a:latin typeface="Times New Roman" panose="02020603050405020304" pitchFamily="18" charset="0"/>
              <a:cs typeface="Times New Roman" panose="02020603050405020304" pitchFamily="18" charset="0"/>
            </a:rPr>
            <a:t>%</a:t>
          </a:r>
          <a:endParaRPr lang="en-IN"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238125</xdr:colOff>
      <xdr:row>0</xdr:row>
      <xdr:rowOff>0</xdr:rowOff>
    </xdr:from>
    <xdr:to>
      <xdr:col>10</xdr:col>
      <xdr:colOff>19050</xdr:colOff>
      <xdr:row>2</xdr:row>
      <xdr:rowOff>180974</xdr:rowOff>
    </xdr:to>
    <xdr:sp macro="" textlink="">
      <xdr:nvSpPr>
        <xdr:cNvPr id="9" name="Rectangle: Rounded Corners 8">
          <a:extLst>
            <a:ext uri="{FF2B5EF4-FFF2-40B4-BE49-F238E27FC236}">
              <a16:creationId xmlns:a16="http://schemas.microsoft.com/office/drawing/2014/main" id="{4A780CA8-AD30-4513-8C6D-093F7923ED5E}"/>
            </a:ext>
          </a:extLst>
        </xdr:cNvPr>
        <xdr:cNvSpPr/>
      </xdr:nvSpPr>
      <xdr:spPr>
        <a:xfrm>
          <a:off x="5114925" y="0"/>
          <a:ext cx="1000125" cy="561974"/>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Times New Roman" panose="02020603050405020304" pitchFamily="18" charset="0"/>
              <a:cs typeface="Times New Roman" panose="02020603050405020304" pitchFamily="18" charset="0"/>
            </a:rPr>
            <a:t>Active</a:t>
          </a:r>
        </a:p>
        <a:p>
          <a:pPr algn="ctr"/>
          <a:r>
            <a:rPr lang="en-IN" sz="1200" b="1">
              <a:solidFill>
                <a:sysClr val="windowText" lastClr="000000"/>
              </a:solidFill>
              <a:latin typeface="Times New Roman" panose="02020603050405020304" pitchFamily="18" charset="0"/>
              <a:cs typeface="Times New Roman" panose="02020603050405020304" pitchFamily="18" charset="0"/>
            </a:rPr>
            <a:t>0.4%</a:t>
          </a:r>
        </a:p>
      </xdr:txBody>
    </xdr:sp>
    <xdr:clientData/>
  </xdr:twoCellAnchor>
  <xdr:twoCellAnchor>
    <xdr:from>
      <xdr:col>0</xdr:col>
      <xdr:colOff>0</xdr:colOff>
      <xdr:row>3</xdr:row>
      <xdr:rowOff>85724</xdr:rowOff>
    </xdr:from>
    <xdr:to>
      <xdr:col>10</xdr:col>
      <xdr:colOff>24000</xdr:colOff>
      <xdr:row>3</xdr:row>
      <xdr:rowOff>85724</xdr:rowOff>
    </xdr:to>
    <xdr:cxnSp macro="">
      <xdr:nvCxnSpPr>
        <xdr:cNvPr id="11" name="Straight Connector 10">
          <a:extLst>
            <a:ext uri="{FF2B5EF4-FFF2-40B4-BE49-F238E27FC236}">
              <a16:creationId xmlns:a16="http://schemas.microsoft.com/office/drawing/2014/main" id="{9E573696-64D4-AE35-0CFA-D62543281A54}"/>
            </a:ext>
          </a:extLst>
        </xdr:cNvPr>
        <xdr:cNvCxnSpPr/>
      </xdr:nvCxnSpPr>
      <xdr:spPr>
        <a:xfrm>
          <a:off x="0" y="657224"/>
          <a:ext cx="6120000" cy="0"/>
        </a:xfrm>
        <a:prstGeom prst="line">
          <a:avLst/>
        </a:prstGeom>
        <a:ln w="762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394607</xdr:colOff>
      <xdr:row>0</xdr:row>
      <xdr:rowOff>0</xdr:rowOff>
    </xdr:from>
    <xdr:to>
      <xdr:col>22</xdr:col>
      <xdr:colOff>204107</xdr:colOff>
      <xdr:row>8</xdr:row>
      <xdr:rowOff>112058</xdr:rowOff>
    </xdr:to>
    <xdr:graphicFrame macro="">
      <xdr:nvGraphicFramePr>
        <xdr:cNvPr id="4" name="Chart 3">
          <a:extLst>
            <a:ext uri="{FF2B5EF4-FFF2-40B4-BE49-F238E27FC236}">
              <a16:creationId xmlns:a16="http://schemas.microsoft.com/office/drawing/2014/main" id="{7E1F3383-8828-42F3-A85F-2D603EB3A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507466</xdr:colOff>
      <xdr:row>0</xdr:row>
      <xdr:rowOff>0</xdr:rowOff>
    </xdr:from>
    <xdr:to>
      <xdr:col>17</xdr:col>
      <xdr:colOff>381000</xdr:colOff>
      <xdr:row>8</xdr:row>
      <xdr:rowOff>108857</xdr:rowOff>
    </xdr:to>
    <mc:AlternateContent xmlns:mc="http://schemas.openxmlformats.org/markup-compatibility/2006">
      <mc:Choice xmlns:a14="http://schemas.microsoft.com/office/drawing/2010/main" Requires="a14">
        <xdr:graphicFrame macro="">
          <xdr:nvGraphicFramePr>
            <xdr:cNvPr id="5" name="Zone 1">
              <a:extLst>
                <a:ext uri="{FF2B5EF4-FFF2-40B4-BE49-F238E27FC236}">
                  <a16:creationId xmlns:a16="http://schemas.microsoft.com/office/drawing/2014/main" id="{6F9174B0-17B8-44F4-B133-9A89DD5E1C87}"/>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10828084" y="0"/>
              <a:ext cx="1688887" cy="1655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510667</xdr:colOff>
      <xdr:row>8</xdr:row>
      <xdr:rowOff>123264</xdr:rowOff>
    </xdr:from>
    <xdr:to>
      <xdr:col>22</xdr:col>
      <xdr:colOff>191299</xdr:colOff>
      <xdr:row>23</xdr:row>
      <xdr:rowOff>168089</xdr:rowOff>
    </xdr:to>
    <xdr:graphicFrame macro="">
      <xdr:nvGraphicFramePr>
        <xdr:cNvPr id="6" name="Chart 5">
          <a:extLst>
            <a:ext uri="{FF2B5EF4-FFF2-40B4-BE49-F238E27FC236}">
              <a16:creationId xmlns:a16="http://schemas.microsoft.com/office/drawing/2014/main" id="{C6F3114D-C404-420F-9EAD-342021371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526677</xdr:colOff>
      <xdr:row>23</xdr:row>
      <xdr:rowOff>190500</xdr:rowOff>
    </xdr:from>
    <xdr:to>
      <xdr:col>22</xdr:col>
      <xdr:colOff>207310</xdr:colOff>
      <xdr:row>39</xdr:row>
      <xdr:rowOff>11206</xdr:rowOff>
    </xdr:to>
    <xdr:graphicFrame macro="">
      <xdr:nvGraphicFramePr>
        <xdr:cNvPr id="10" name="Chart 9">
          <a:extLst>
            <a:ext uri="{FF2B5EF4-FFF2-40B4-BE49-F238E27FC236}">
              <a16:creationId xmlns:a16="http://schemas.microsoft.com/office/drawing/2014/main" id="{351375FC-0631-442B-8135-B5E52E2C7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10023</xdr:colOff>
      <xdr:row>3</xdr:row>
      <xdr:rowOff>155107</xdr:rowOff>
    </xdr:from>
    <xdr:to>
      <xdr:col>11</xdr:col>
      <xdr:colOff>470647</xdr:colOff>
      <xdr:row>20</xdr:row>
      <xdr:rowOff>168088</xdr:rowOff>
    </xdr:to>
    <xdr:graphicFrame macro="">
      <xdr:nvGraphicFramePr>
        <xdr:cNvPr id="12" name="Chart 11">
          <a:extLst>
            <a:ext uri="{FF2B5EF4-FFF2-40B4-BE49-F238E27FC236}">
              <a16:creationId xmlns:a16="http://schemas.microsoft.com/office/drawing/2014/main" id="{4F9A2193-7398-4997-B3C5-14E2F8EA7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5358</xdr:colOff>
      <xdr:row>21</xdr:row>
      <xdr:rowOff>11207</xdr:rowOff>
    </xdr:from>
    <xdr:to>
      <xdr:col>11</xdr:col>
      <xdr:colOff>515469</xdr:colOff>
      <xdr:row>38</xdr:row>
      <xdr:rowOff>173935</xdr:rowOff>
    </xdr:to>
    <xdr:graphicFrame macro="">
      <xdr:nvGraphicFramePr>
        <xdr:cNvPr id="13" name="Chart 12">
          <a:extLst>
            <a:ext uri="{FF2B5EF4-FFF2-40B4-BE49-F238E27FC236}">
              <a16:creationId xmlns:a16="http://schemas.microsoft.com/office/drawing/2014/main" id="{A780B552-0443-42BD-A734-443DBAAD7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11207</xdr:colOff>
      <xdr:row>21</xdr:row>
      <xdr:rowOff>38976</xdr:rowOff>
    </xdr:from>
    <xdr:to>
      <xdr:col>11</xdr:col>
      <xdr:colOff>515470</xdr:colOff>
      <xdr:row>25</xdr:row>
      <xdr:rowOff>5358</xdr:rowOff>
    </xdr:to>
    <mc:AlternateContent xmlns:mc="http://schemas.openxmlformats.org/markup-compatibility/2006">
      <mc:Choice xmlns:a14="http://schemas.microsoft.com/office/drawing/2010/main" Requires="a14">
        <xdr:graphicFrame macro="">
          <xdr:nvGraphicFramePr>
            <xdr:cNvPr id="14" name="Discharge Avg 1">
              <a:extLst>
                <a:ext uri="{FF2B5EF4-FFF2-40B4-BE49-F238E27FC236}">
                  <a16:creationId xmlns:a16="http://schemas.microsoft.com/office/drawing/2014/main" id="{939C2F16-9D9D-4185-ADC3-DA33F66D565E}"/>
                </a:ext>
              </a:extLst>
            </xdr:cNvPr>
            <xdr:cNvGraphicFramePr/>
          </xdr:nvGraphicFramePr>
          <xdr:xfrm>
            <a:off x="0" y="0"/>
            <a:ext cx="0" cy="0"/>
          </xdr:xfrm>
          <a:graphic>
            <a:graphicData uri="http://schemas.microsoft.com/office/drawing/2010/slicer">
              <sle:slicer xmlns:sle="http://schemas.microsoft.com/office/drawing/2010/slicer" name="Discharge Avg 1"/>
            </a:graphicData>
          </a:graphic>
        </xdr:graphicFrame>
      </mc:Choice>
      <mc:Fallback>
        <xdr:sp macro="" textlink="">
          <xdr:nvSpPr>
            <xdr:cNvPr id="0" name=""/>
            <xdr:cNvSpPr>
              <a:spLocks noTextEdit="1"/>
            </xdr:cNvSpPr>
          </xdr:nvSpPr>
          <xdr:spPr>
            <a:xfrm>
              <a:off x="4280648" y="4095505"/>
              <a:ext cx="4740087"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33617</xdr:colOff>
      <xdr:row>3</xdr:row>
      <xdr:rowOff>156882</xdr:rowOff>
    </xdr:from>
    <xdr:to>
      <xdr:col>11</xdr:col>
      <xdr:colOff>470647</xdr:colOff>
      <xdr:row>7</xdr:row>
      <xdr:rowOff>145676</xdr:rowOff>
    </xdr:to>
    <mc:AlternateContent xmlns:mc="http://schemas.openxmlformats.org/markup-compatibility/2006">
      <mc:Choice xmlns:a14="http://schemas.microsoft.com/office/drawing/2010/main" Requires="a14">
        <xdr:graphicFrame macro="">
          <xdr:nvGraphicFramePr>
            <xdr:cNvPr id="15" name="Death Avg 1">
              <a:extLst>
                <a:ext uri="{FF2B5EF4-FFF2-40B4-BE49-F238E27FC236}">
                  <a16:creationId xmlns:a16="http://schemas.microsoft.com/office/drawing/2014/main" id="{3E407B19-3575-4DEE-93C3-186219E65D2B}"/>
                </a:ext>
              </a:extLst>
            </xdr:cNvPr>
            <xdr:cNvGraphicFramePr/>
          </xdr:nvGraphicFramePr>
          <xdr:xfrm>
            <a:off x="0" y="0"/>
            <a:ext cx="0" cy="0"/>
          </xdr:xfrm>
          <a:graphic>
            <a:graphicData uri="http://schemas.microsoft.com/office/drawing/2010/slicer">
              <sle:slicer xmlns:sle="http://schemas.microsoft.com/office/drawing/2010/slicer" name="Death Avg 1"/>
            </a:graphicData>
          </a:graphic>
        </xdr:graphicFrame>
      </mc:Choice>
      <mc:Fallback>
        <xdr:sp macro="" textlink="">
          <xdr:nvSpPr>
            <xdr:cNvPr id="0" name=""/>
            <xdr:cNvSpPr>
              <a:spLocks noTextEdit="1"/>
            </xdr:cNvSpPr>
          </xdr:nvSpPr>
          <xdr:spPr>
            <a:xfrm>
              <a:off x="4303058" y="728382"/>
              <a:ext cx="4672854" cy="77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491938</xdr:colOff>
      <xdr:row>3</xdr:row>
      <xdr:rowOff>149599</xdr:rowOff>
    </xdr:from>
    <xdr:to>
      <xdr:col>14</xdr:col>
      <xdr:colOff>505385</xdr:colOff>
      <xdr:row>39</xdr:row>
      <xdr:rowOff>11206</xdr:rowOff>
    </xdr:to>
    <mc:AlternateContent xmlns:mc="http://schemas.openxmlformats.org/markup-compatibility/2006">
      <mc:Choice xmlns:a14="http://schemas.microsoft.com/office/drawing/2010/main" Requires="a14">
        <xdr:graphicFrame macro="">
          <xdr:nvGraphicFramePr>
            <xdr:cNvPr id="16" name="State/UTs">
              <a:extLst>
                <a:ext uri="{FF2B5EF4-FFF2-40B4-BE49-F238E27FC236}">
                  <a16:creationId xmlns:a16="http://schemas.microsoft.com/office/drawing/2014/main" id="{6F6D34DF-D74C-72FB-A331-B61EB1494A07}"/>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dr:sp macro="" textlink="">
          <xdr:nvSpPr>
            <xdr:cNvPr id="0" name=""/>
            <xdr:cNvSpPr>
              <a:spLocks noTextEdit="1"/>
            </xdr:cNvSpPr>
          </xdr:nvSpPr>
          <xdr:spPr>
            <a:xfrm>
              <a:off x="8997203" y="721099"/>
              <a:ext cx="1828800" cy="6842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176212</xdr:colOff>
      <xdr:row>26</xdr:row>
      <xdr:rowOff>128587</xdr:rowOff>
    </xdr:from>
    <xdr:to>
      <xdr:col>9</xdr:col>
      <xdr:colOff>166687</xdr:colOff>
      <xdr:row>41</xdr:row>
      <xdr:rowOff>14287</xdr:rowOff>
    </xdr:to>
    <xdr:graphicFrame macro="">
      <xdr:nvGraphicFramePr>
        <xdr:cNvPr id="2" name="Chart 1">
          <a:extLst>
            <a:ext uri="{FF2B5EF4-FFF2-40B4-BE49-F238E27FC236}">
              <a16:creationId xmlns:a16="http://schemas.microsoft.com/office/drawing/2014/main" id="{0C11C3F4-40D0-B77A-33E7-3F034C518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3</xdr:row>
      <xdr:rowOff>128587</xdr:rowOff>
    </xdr:from>
    <xdr:to>
      <xdr:col>9</xdr:col>
      <xdr:colOff>571500</xdr:colOff>
      <xdr:row>18</xdr:row>
      <xdr:rowOff>14287</xdr:rowOff>
    </xdr:to>
    <xdr:graphicFrame macro="">
      <xdr:nvGraphicFramePr>
        <xdr:cNvPr id="2" name="Chart 1">
          <a:extLst>
            <a:ext uri="{FF2B5EF4-FFF2-40B4-BE49-F238E27FC236}">
              <a16:creationId xmlns:a16="http://schemas.microsoft.com/office/drawing/2014/main" id="{EB7F6285-3C6F-9D44-1420-9EF424F1F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47625</xdr:colOff>
      <xdr:row>4</xdr:row>
      <xdr:rowOff>85725</xdr:rowOff>
    </xdr:from>
    <xdr:to>
      <xdr:col>8</xdr:col>
      <xdr:colOff>47625</xdr:colOff>
      <xdr:row>17</xdr:row>
      <xdr:rowOff>133350</xdr:rowOff>
    </xdr:to>
    <mc:AlternateContent xmlns:mc="http://schemas.openxmlformats.org/markup-compatibility/2006" xmlns:a14="http://schemas.microsoft.com/office/drawing/2010/main">
      <mc:Choice Requires="a14">
        <xdr:graphicFrame macro="">
          <xdr:nvGraphicFramePr>
            <xdr:cNvPr id="3" name="Zone">
              <a:extLst>
                <a:ext uri="{FF2B5EF4-FFF2-40B4-BE49-F238E27FC236}">
                  <a16:creationId xmlns:a16="http://schemas.microsoft.com/office/drawing/2014/main" id="{694D273D-845F-ADA1-690E-62A63A060F28}"/>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3933825" y="847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1062037</xdr:colOff>
      <xdr:row>24</xdr:row>
      <xdr:rowOff>128587</xdr:rowOff>
    </xdr:from>
    <xdr:to>
      <xdr:col>8</xdr:col>
      <xdr:colOff>233362</xdr:colOff>
      <xdr:row>39</xdr:row>
      <xdr:rowOff>14287</xdr:rowOff>
    </xdr:to>
    <xdr:graphicFrame macro="">
      <xdr:nvGraphicFramePr>
        <xdr:cNvPr id="2" name="Chart 1">
          <a:extLst>
            <a:ext uri="{FF2B5EF4-FFF2-40B4-BE49-F238E27FC236}">
              <a16:creationId xmlns:a16="http://schemas.microsoft.com/office/drawing/2014/main" id="{16D42014-9695-E142-5D0C-F947E2533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942975</xdr:colOff>
      <xdr:row>3</xdr:row>
      <xdr:rowOff>128587</xdr:rowOff>
    </xdr:from>
    <xdr:to>
      <xdr:col>7</xdr:col>
      <xdr:colOff>800100</xdr:colOff>
      <xdr:row>18</xdr:row>
      <xdr:rowOff>14287</xdr:rowOff>
    </xdr:to>
    <xdr:graphicFrame macro="">
      <xdr:nvGraphicFramePr>
        <xdr:cNvPr id="3" name="Chart 2">
          <a:extLst>
            <a:ext uri="{FF2B5EF4-FFF2-40B4-BE49-F238E27FC236}">
              <a16:creationId xmlns:a16="http://schemas.microsoft.com/office/drawing/2014/main" id="{6A95C3AE-391A-BCDA-A0E2-2FBD5F1CF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190500</xdr:colOff>
      <xdr:row>2</xdr:row>
      <xdr:rowOff>57151</xdr:rowOff>
    </xdr:from>
    <xdr:to>
      <xdr:col>10</xdr:col>
      <xdr:colOff>409575</xdr:colOff>
      <xdr:row>7</xdr:row>
      <xdr:rowOff>28575</xdr:rowOff>
    </xdr:to>
    <mc:AlternateContent xmlns:mc="http://schemas.openxmlformats.org/markup-compatibility/2006">
      <mc:Choice xmlns:a14="http://schemas.microsoft.com/office/drawing/2010/main" Requires="a14">
        <xdr:graphicFrame macro="">
          <xdr:nvGraphicFramePr>
            <xdr:cNvPr id="4" name="Death Avg">
              <a:extLst>
                <a:ext uri="{FF2B5EF4-FFF2-40B4-BE49-F238E27FC236}">
                  <a16:creationId xmlns:a16="http://schemas.microsoft.com/office/drawing/2014/main" id="{7E5D5B76-1180-B9FB-B2F8-C8A790F90ADD}"/>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dr:sp macro="" textlink="">
          <xdr:nvSpPr>
            <xdr:cNvPr id="0" name=""/>
            <xdr:cNvSpPr>
              <a:spLocks noTextEdit="1"/>
            </xdr:cNvSpPr>
          </xdr:nvSpPr>
          <xdr:spPr>
            <a:xfrm>
              <a:off x="5248275" y="438151"/>
              <a:ext cx="4152900"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942975</xdr:colOff>
      <xdr:row>3</xdr:row>
      <xdr:rowOff>128587</xdr:rowOff>
    </xdr:from>
    <xdr:to>
      <xdr:col>8</xdr:col>
      <xdr:colOff>190500</xdr:colOff>
      <xdr:row>18</xdr:row>
      <xdr:rowOff>14287</xdr:rowOff>
    </xdr:to>
    <xdr:graphicFrame macro="">
      <xdr:nvGraphicFramePr>
        <xdr:cNvPr id="2" name="Chart 1">
          <a:extLst>
            <a:ext uri="{FF2B5EF4-FFF2-40B4-BE49-F238E27FC236}">
              <a16:creationId xmlns:a16="http://schemas.microsoft.com/office/drawing/2014/main" id="{E759F947-818A-34D0-2AE2-7780A51E7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152399</xdr:colOff>
      <xdr:row>2</xdr:row>
      <xdr:rowOff>180976</xdr:rowOff>
    </xdr:from>
    <xdr:to>
      <xdr:col>9</xdr:col>
      <xdr:colOff>542924</xdr:colOff>
      <xdr:row>7</xdr:row>
      <xdr:rowOff>47626</xdr:rowOff>
    </xdr:to>
    <mc:AlternateContent xmlns:mc="http://schemas.openxmlformats.org/markup-compatibility/2006" xmlns:a14="http://schemas.microsoft.com/office/drawing/2010/main">
      <mc:Choice Requires="a14">
        <xdr:graphicFrame macro="">
          <xdr:nvGraphicFramePr>
            <xdr:cNvPr id="3" name="Discharge Avg">
              <a:extLst>
                <a:ext uri="{FF2B5EF4-FFF2-40B4-BE49-F238E27FC236}">
                  <a16:creationId xmlns:a16="http://schemas.microsoft.com/office/drawing/2014/main" id="{7C9097B2-4974-457A-29B2-04B9FFA1B09E}"/>
                </a:ext>
              </a:extLst>
            </xdr:cNvPr>
            <xdr:cNvGraphicFramePr/>
          </xdr:nvGraphicFramePr>
          <xdr:xfrm>
            <a:off x="0" y="0"/>
            <a:ext cx="0" cy="0"/>
          </xdr:xfrm>
          <a:graphic>
            <a:graphicData uri="http://schemas.microsoft.com/office/drawing/2010/slicer">
              <sle:slicer xmlns:sle="http://schemas.microsoft.com/office/drawing/2010/slicer" name="Discharge Avg"/>
            </a:graphicData>
          </a:graphic>
        </xdr:graphicFrame>
      </mc:Choice>
      <mc:Fallback xmlns="">
        <xdr:sp macro="" textlink="">
          <xdr:nvSpPr>
            <xdr:cNvPr id="0" name=""/>
            <xdr:cNvSpPr>
              <a:spLocks noTextEdit="1"/>
            </xdr:cNvSpPr>
          </xdr:nvSpPr>
          <xdr:spPr>
            <a:xfrm>
              <a:off x="4886324" y="561976"/>
              <a:ext cx="2828925" cy="8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h" refreshedDate="46105.427513773146" createdVersion="8" refreshedVersion="8" minRefreshableVersion="3" recordCount="36" xr:uid="{E5A0A188-5A2F-4C29-A51A-1BA144E4DC00}">
  <cacheSource type="worksheet">
    <worksheetSource ref="A1:L37" sheet="Sheet1"/>
  </cacheSource>
  <cacheFields count="12">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Total Cases" numFmtId="0">
      <sharedItems containsSemiMixedTypes="0" containsString="0" containsNumber="1" containsInteger="1" minValue="7670" maxValue="6623344"/>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ount="2">
        <s v="Below Average"/>
        <s v="Above Average"/>
      </sharedItems>
    </cacheField>
    <cacheField name="Death Ratio" numFmtId="0">
      <sharedItems containsSemiMixedTypes="0" containsString="0" containsNumber="1" minValue="0.04" maxValue="2.75"/>
    </cacheField>
    <cacheField name="Death Avg" numFmtId="0">
      <sharedItems count="2">
        <s v="Above Average"/>
        <s v="Below Average"/>
      </sharedItems>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993074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7670"/>
    <n v="7"/>
    <n v="7534"/>
    <n v="129"/>
    <n v="0.09"/>
    <n v="98.23"/>
    <x v="0"/>
    <n v="1.68"/>
    <x v="0"/>
    <n v="399001"/>
  </r>
  <r>
    <x v="1"/>
    <x v="0"/>
    <n v="2069770"/>
    <n v="3128"/>
    <n v="2052230"/>
    <n v="14412"/>
    <n v="0.15"/>
    <n v="99.15"/>
    <x v="1"/>
    <n v="0.7"/>
    <x v="1"/>
    <n v="91702478"/>
  </r>
  <r>
    <x v="2"/>
    <x v="1"/>
    <n v="55216"/>
    <n v="42"/>
    <n v="54894"/>
    <n v="280"/>
    <n v="0.08"/>
    <n v="99.42"/>
    <x v="1"/>
    <n v="0.51"/>
    <x v="1"/>
    <n v="1711947"/>
  </r>
  <r>
    <x v="3"/>
    <x v="1"/>
    <n v="613784"/>
    <n v="3272"/>
    <n v="604465"/>
    <n v="6047"/>
    <n v="0.53"/>
    <n v="98.48"/>
    <x v="1"/>
    <n v="0.99"/>
    <x v="1"/>
    <n v="35998752"/>
  </r>
  <r>
    <x v="4"/>
    <x v="1"/>
    <n v="726153"/>
    <n v="29"/>
    <n v="716462"/>
    <n v="9662"/>
    <n v="0"/>
    <n v="98.67"/>
    <x v="1"/>
    <n v="1.33"/>
    <x v="0"/>
    <n v="128500364"/>
  </r>
  <r>
    <x v="5"/>
    <x v="2"/>
    <n v="65380"/>
    <n v="24"/>
    <n v="64536"/>
    <n v="820"/>
    <n v="0.04"/>
    <n v="98.71"/>
    <x v="1"/>
    <n v="1.25"/>
    <x v="1"/>
    <n v="1158040"/>
  </r>
  <r>
    <x v="6"/>
    <x v="1"/>
    <n v="1006326"/>
    <n v="230"/>
    <n v="992508"/>
    <n v="13588"/>
    <n v="0.02"/>
    <n v="98.63"/>
    <x v="1"/>
    <n v="1.35"/>
    <x v="0"/>
    <n v="32199722"/>
  </r>
  <r>
    <x v="7"/>
    <x v="3"/>
    <n v="10682"/>
    <n v="0"/>
    <n v="10678"/>
    <n v="4"/>
    <n v="0"/>
    <n v="99.96"/>
    <x v="1"/>
    <n v="0.04"/>
    <x v="1"/>
    <n v="773997"/>
  </r>
  <r>
    <x v="8"/>
    <x v="2"/>
    <n v="1440388"/>
    <n v="361"/>
    <n v="1414934"/>
    <n v="25093"/>
    <n v="0.03"/>
    <n v="98.23"/>
    <x v="0"/>
    <n v="1.74"/>
    <x v="0"/>
    <n v="19301096"/>
  </r>
  <r>
    <x v="9"/>
    <x v="3"/>
    <n v="178467"/>
    <n v="263"/>
    <n v="174830"/>
    <n v="3374"/>
    <n v="0.15"/>
    <n v="97.96"/>
    <x v="0"/>
    <n v="1.89"/>
    <x v="0"/>
    <n v="1521992"/>
  </r>
  <r>
    <x v="10"/>
    <x v="3"/>
    <n v="826924"/>
    <n v="226"/>
    <n v="816608"/>
    <n v="10090"/>
    <n v="0.03"/>
    <n v="98.75"/>
    <x v="1"/>
    <n v="1.22"/>
    <x v="1"/>
    <n v="70400153"/>
  </r>
  <r>
    <x v="11"/>
    <x v="2"/>
    <n v="771420"/>
    <n v="140"/>
    <n v="761230"/>
    <n v="10050"/>
    <n v="0.02"/>
    <n v="98.68"/>
    <x v="1"/>
    <n v="1.3"/>
    <x v="0"/>
    <n v="28900667"/>
  </r>
  <r>
    <x v="12"/>
    <x v="2"/>
    <n v="225712"/>
    <n v="1100"/>
    <n v="220800"/>
    <n v="3812"/>
    <n v="0.49"/>
    <n v="97.82"/>
    <x v="0"/>
    <n v="1.69"/>
    <x v="0"/>
    <n v="7503010"/>
  </r>
  <r>
    <x v="13"/>
    <x v="2"/>
    <n v="334006"/>
    <n v="1450"/>
    <n v="328108"/>
    <n v="4448"/>
    <n v="0.43"/>
    <n v="98.23"/>
    <x v="0"/>
    <n v="1.33"/>
    <x v="0"/>
    <n v="14999397"/>
  </r>
  <r>
    <x v="14"/>
    <x v="1"/>
    <n v="348992"/>
    <n v="141"/>
    <n v="343713"/>
    <n v="5138"/>
    <n v="0.04"/>
    <n v="98.49"/>
    <x v="1"/>
    <n v="1.47"/>
    <x v="0"/>
    <n v="40100376"/>
  </r>
  <r>
    <x v="15"/>
    <x v="0"/>
    <n v="2991614"/>
    <n v="8056"/>
    <n v="2945415"/>
    <n v="38143"/>
    <n v="0.27"/>
    <n v="98.46"/>
    <x v="1"/>
    <n v="1.27"/>
    <x v="1"/>
    <n v="69599762"/>
  </r>
  <r>
    <x v="16"/>
    <x v="0"/>
    <n v="5055224"/>
    <n v="69258"/>
    <n v="4950281"/>
    <n v="35685"/>
    <n v="1.37"/>
    <n v="97.92"/>
    <x v="0"/>
    <n v="0.71"/>
    <x v="1"/>
    <n v="34698876"/>
  </r>
  <r>
    <x v="17"/>
    <x v="2"/>
    <n v="21148"/>
    <n v="154"/>
    <n v="20783"/>
    <n v="211"/>
    <n v="0.73"/>
    <n v="98.27"/>
    <x v="0"/>
    <n v="1"/>
    <x v="1"/>
    <n v="290492"/>
  </r>
  <r>
    <x v="18"/>
    <x v="0"/>
    <n v="10365"/>
    <n v="0"/>
    <n v="10314"/>
    <n v="51"/>
    <n v="0"/>
    <n v="99.51"/>
    <x v="1"/>
    <n v="0.49"/>
    <x v="1"/>
    <n v="66001"/>
  </r>
  <r>
    <x v="19"/>
    <x v="3"/>
    <n v="792956"/>
    <n v="75"/>
    <n v="782357"/>
    <n v="10524"/>
    <n v="0.01"/>
    <n v="98.66"/>
    <x v="1"/>
    <n v="1.33"/>
    <x v="0"/>
    <n v="85002417"/>
  </r>
  <r>
    <x v="20"/>
    <x v="3"/>
    <n v="6623344"/>
    <n v="15866"/>
    <n v="6466913"/>
    <n v="140565"/>
    <n v="0.24"/>
    <n v="97.64"/>
    <x v="0"/>
    <n v="2.12"/>
    <x v="0"/>
    <n v="124904071"/>
  </r>
  <r>
    <x v="21"/>
    <x v="1"/>
    <n v="124432"/>
    <n v="799"/>
    <n v="121687"/>
    <n v="1946"/>
    <n v="0.64"/>
    <n v="97.79"/>
    <x v="0"/>
    <n v="1.56"/>
    <x v="0"/>
    <n v="3436948"/>
  </r>
  <r>
    <x v="22"/>
    <x v="1"/>
    <n v="84013"/>
    <n v="277"/>
    <n v="82274"/>
    <n v="1462"/>
    <n v="0.33"/>
    <n v="97.93"/>
    <x v="0"/>
    <n v="1.74"/>
    <x v="0"/>
    <n v="3772103"/>
  </r>
  <r>
    <x v="23"/>
    <x v="1"/>
    <n v="128604"/>
    <n v="5651"/>
    <n v="122494"/>
    <n v="459"/>
    <n v="4.3899999999999997"/>
    <n v="95.25"/>
    <x v="0"/>
    <n v="0.36"/>
    <x v="1"/>
    <n v="1308967"/>
  </r>
  <r>
    <x v="24"/>
    <x v="1"/>
    <n v="31978"/>
    <n v="163"/>
    <n v="31123"/>
    <n v="692"/>
    <n v="0.51"/>
    <n v="97.33"/>
    <x v="0"/>
    <n v="2.16"/>
    <x v="0"/>
    <n v="2073074"/>
  </r>
  <r>
    <x v="25"/>
    <x v="1"/>
    <n v="1045209"/>
    <n v="2534"/>
    <n v="1034300"/>
    <n v="8375"/>
    <n v="0.24"/>
    <n v="98.96"/>
    <x v="1"/>
    <n v="0.8"/>
    <x v="1"/>
    <n v="47099270"/>
  </r>
  <r>
    <x v="26"/>
    <x v="0"/>
    <n v="128401"/>
    <n v="275"/>
    <n v="126263"/>
    <n v="1863"/>
    <n v="0.21"/>
    <n v="98.33"/>
    <x v="0"/>
    <n v="1.45"/>
    <x v="0"/>
    <n v="1646050"/>
  </r>
  <r>
    <x v="27"/>
    <x v="2"/>
    <n v="602778"/>
    <n v="318"/>
    <n v="585889"/>
    <n v="16571"/>
    <n v="0.05"/>
    <n v="97.2"/>
    <x v="0"/>
    <n v="2.75"/>
    <x v="0"/>
    <n v="30501026"/>
  </r>
  <r>
    <x v="28"/>
    <x v="3"/>
    <n v="954503"/>
    <n v="71"/>
    <n v="945478"/>
    <n v="8954"/>
    <n v="0.01"/>
    <n v="99.05"/>
    <x v="1"/>
    <n v="0.94"/>
    <x v="1"/>
    <n v="79502477"/>
  </r>
  <r>
    <x v="29"/>
    <x v="1"/>
    <n v="32096"/>
    <n v="121"/>
    <n v="31575"/>
    <n v="400"/>
    <n v="0.38"/>
    <n v="98.38"/>
    <x v="1"/>
    <n v="1.25"/>
    <x v="1"/>
    <n v="658019"/>
  </r>
  <r>
    <x v="30"/>
    <x v="0"/>
    <n v="2714025"/>
    <n v="9751"/>
    <n v="2668001"/>
    <n v="36273"/>
    <n v="0.36"/>
    <n v="98.3"/>
    <x v="0"/>
    <n v="1.34"/>
    <x v="0"/>
    <n v="83697770"/>
  </r>
  <r>
    <x v="31"/>
    <x v="0"/>
    <n v="673469"/>
    <n v="3741"/>
    <n v="665755"/>
    <n v="3973"/>
    <n v="0.56000000000000005"/>
    <n v="98.85"/>
    <x v="1"/>
    <n v="0.59"/>
    <x v="1"/>
    <n v="38157311"/>
  </r>
  <r>
    <x v="32"/>
    <x v="1"/>
    <n v="84665"/>
    <n v="116"/>
    <n v="83732"/>
    <n v="817"/>
    <n v="0.14000000000000001"/>
    <n v="98.9"/>
    <x v="1"/>
    <n v="0.96"/>
    <x v="1"/>
    <n v="4184959"/>
  </r>
  <r>
    <x v="33"/>
    <x v="2"/>
    <n v="1710261"/>
    <n v="90"/>
    <n v="1687262"/>
    <n v="22909"/>
    <n v="0.01"/>
    <n v="98.66"/>
    <x v="1"/>
    <n v="1.34"/>
    <x v="0"/>
    <n v="231502578"/>
  </r>
  <r>
    <x v="34"/>
    <x v="2"/>
    <n v="344014"/>
    <n v="158"/>
    <n v="336453"/>
    <n v="7403"/>
    <n v="0.05"/>
    <n v="97.8"/>
    <x v="0"/>
    <n v="2.15"/>
    <x v="0"/>
    <n v="11700099"/>
  </r>
  <r>
    <x v="35"/>
    <x v="1"/>
    <n v="1603318"/>
    <n v="8031"/>
    <n v="1575980"/>
    <n v="19307"/>
    <n v="0.5"/>
    <n v="98.29"/>
    <x v="0"/>
    <n v="1.2"/>
    <x v="1"/>
    <n v="1008966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413E2-01BC-419B-B5CD-22D87B20BF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6">
    <i>
      <x v="20"/>
    </i>
    <i>
      <x v="16"/>
    </i>
    <i>
      <x v="15"/>
    </i>
    <i>
      <x v="30"/>
    </i>
    <i>
      <x v="1"/>
    </i>
    <i t="grand">
      <x/>
    </i>
  </rowItems>
  <colItems count="1">
    <i/>
  </colItems>
  <dataFields count="1">
    <dataField name="Sum of Total Cases" fld="2" baseField="0" baseItem="0" numFmtId="3"/>
  </dataField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5D1B7F-AF5C-4692-9A06-D9E97BCDD6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6">
    <i>
      <x v="23"/>
    </i>
    <i>
      <x v="27"/>
    </i>
    <i>
      <x v="24"/>
    </i>
    <i>
      <x v="20"/>
    </i>
    <i>
      <x v="21"/>
    </i>
    <i t="grand">
      <x/>
    </i>
  </rowItems>
  <colItems count="1">
    <i/>
  </colItems>
  <dataFields count="1">
    <dataField name="Sum of Discharge Ratio" fld="7" baseField="0" baseItem="0"/>
  </dataFields>
  <pivotTableStyleInfo name="PivotStyleLight16" showRowHeaders="1" showColHeaders="1" showRowStripes="0" showColStripes="0" showLastColumn="1"/>
  <filters count="1">
    <filter fld="0"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20A2A1-1531-4C5D-B0FC-B6F981BE9F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v="7"/>
    </i>
    <i>
      <x v="23"/>
    </i>
    <i>
      <x v="18"/>
    </i>
    <i>
      <x v="2"/>
    </i>
    <i>
      <x v="31"/>
    </i>
    <i t="grand">
      <x/>
    </i>
  </rowItems>
  <colItems count="1">
    <i/>
  </colItems>
  <dataFields count="1">
    <dataField name="Sum of Death Ratio" fld="9" baseField="0" baseItem="0"/>
  </dataField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122E74-C728-44D1-B1AD-3936DA7CD0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7">
    <i>
      <x v="18"/>
    </i>
    <i>
      <x v="7"/>
    </i>
    <i>
      <x v="4"/>
    </i>
    <i>
      <x v="19"/>
    </i>
    <i>
      <x v="28"/>
    </i>
    <i>
      <x v="33"/>
    </i>
    <i t="grand">
      <x/>
    </i>
  </rowItems>
  <colItems count="1">
    <i/>
  </colItems>
  <dataFields count="1">
    <dataField name="Sum of Active Ratio" fld="6"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CA9D23-6635-45A2-A99B-3D50A73A5CB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40" firstHeaderRow="0"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Sum of Active" fld="3" baseField="0" baseItem="0"/>
    <dataField name="Sum of Deaths"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0F54AD-3D5D-45A5-80DD-59F201B7F28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2">
    <pivotField showAll="0"/>
    <pivotField axis="axisRow"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Total Cases" fld="2" showDataAs="percentOfTotal" baseField="0" baseItem="0" numFmtId="10"/>
  </dataFields>
  <chartFormats count="10">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492E2C-1A57-4C2A-8427-C98BFE5F233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40" firstHeaderRow="0"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Sum of Total Cases" fld="2" baseField="0" baseItem="0"/>
    <dataField name="Sum of Discharge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A773D1-2CCB-4097-81DC-31F84180A7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40" firstHeaderRow="1" firstDataRow="1" firstDataCol="1" rowPageCount="1" colPageCount="1"/>
  <pivotFields count="12">
    <pivotField axis="axisRow" showAll="0"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s>
  <rowFields count="1">
    <field x="0"/>
  </rowFields>
  <rowItems count="37">
    <i>
      <x v="27"/>
    </i>
    <i>
      <x v="24"/>
    </i>
    <i>
      <x v="34"/>
    </i>
    <i>
      <x v="20"/>
    </i>
    <i>
      <x v="9"/>
    </i>
    <i>
      <x v="22"/>
    </i>
    <i>
      <x v="8"/>
    </i>
    <i>
      <x v="12"/>
    </i>
    <i>
      <x/>
    </i>
    <i>
      <x v="21"/>
    </i>
    <i>
      <x v="14"/>
    </i>
    <i>
      <x v="26"/>
    </i>
    <i>
      <x v="6"/>
    </i>
    <i>
      <x v="30"/>
    </i>
    <i>
      <x v="33"/>
    </i>
    <i>
      <x v="13"/>
    </i>
    <i>
      <x v="19"/>
    </i>
    <i>
      <x v="4"/>
    </i>
    <i>
      <x v="11"/>
    </i>
    <i>
      <x v="15"/>
    </i>
    <i>
      <x v="5"/>
    </i>
    <i>
      <x v="29"/>
    </i>
    <i>
      <x v="10"/>
    </i>
    <i>
      <x v="35"/>
    </i>
    <i>
      <x v="17"/>
    </i>
    <i>
      <x v="3"/>
    </i>
    <i>
      <x v="32"/>
    </i>
    <i>
      <x v="28"/>
    </i>
    <i>
      <x v="25"/>
    </i>
    <i>
      <x v="16"/>
    </i>
    <i>
      <x v="1"/>
    </i>
    <i>
      <x v="31"/>
    </i>
    <i>
      <x v="2"/>
    </i>
    <i>
      <x v="18"/>
    </i>
    <i>
      <x v="23"/>
    </i>
    <i>
      <x v="7"/>
    </i>
    <i t="grand">
      <x/>
    </i>
  </rowItems>
  <colItems count="1">
    <i/>
  </colItems>
  <pageFields count="1">
    <pageField fld="10" hier="-1"/>
  </pageFields>
  <dataFields count="1">
    <dataField name="Average of Death Ratio" fld="9" subtotal="average" baseField="0" baseItem="0"/>
  </dataFields>
  <chartFormats count="37">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0" count="1" selected="0">
            <x v="24"/>
          </reference>
        </references>
      </pivotArea>
    </chartFormat>
    <chartFormat chart="4" format="2" series="1">
      <pivotArea type="data" outline="0" fieldPosition="0">
        <references count="2">
          <reference field="4294967294" count="1" selected="0">
            <x v="0"/>
          </reference>
          <reference field="0" count="1" selected="0">
            <x v="34"/>
          </reference>
        </references>
      </pivotArea>
    </chartFormat>
    <chartFormat chart="4" format="3" series="1">
      <pivotArea type="data" outline="0" fieldPosition="0">
        <references count="2">
          <reference field="4294967294" count="1" selected="0">
            <x v="0"/>
          </reference>
          <reference field="0" count="1" selected="0">
            <x v="20"/>
          </reference>
        </references>
      </pivotArea>
    </chartFormat>
    <chartFormat chart="4" format="4" series="1">
      <pivotArea type="data" outline="0" fieldPosition="0">
        <references count="2">
          <reference field="4294967294" count="1" selected="0">
            <x v="0"/>
          </reference>
          <reference field="0" count="1" selected="0">
            <x v="9"/>
          </reference>
        </references>
      </pivotArea>
    </chartFormat>
    <chartFormat chart="4" format="5" series="1">
      <pivotArea type="data" outline="0" fieldPosition="0">
        <references count="2">
          <reference field="4294967294" count="1" selected="0">
            <x v="0"/>
          </reference>
          <reference field="0" count="1" selected="0">
            <x v="22"/>
          </reference>
        </references>
      </pivotArea>
    </chartFormat>
    <chartFormat chart="4" format="6" series="1">
      <pivotArea type="data" outline="0" fieldPosition="0">
        <references count="2">
          <reference field="4294967294" count="1" selected="0">
            <x v="0"/>
          </reference>
          <reference field="0" count="1" selected="0">
            <x v="8"/>
          </reference>
        </references>
      </pivotArea>
    </chartFormat>
    <chartFormat chart="4" format="7" series="1">
      <pivotArea type="data" outline="0" fieldPosition="0">
        <references count="2">
          <reference field="4294967294" count="1" selected="0">
            <x v="0"/>
          </reference>
          <reference field="0" count="1" selected="0">
            <x v="12"/>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21"/>
          </reference>
        </references>
      </pivotArea>
    </chartFormat>
    <chartFormat chart="4" format="10" series="1">
      <pivotArea type="data" outline="0" fieldPosition="0">
        <references count="2">
          <reference field="4294967294" count="1" selected="0">
            <x v="0"/>
          </reference>
          <reference field="0" count="1" selected="0">
            <x v="14"/>
          </reference>
        </references>
      </pivotArea>
    </chartFormat>
    <chartFormat chart="4" format="11" series="1">
      <pivotArea type="data" outline="0" fieldPosition="0">
        <references count="2">
          <reference field="4294967294" count="1" selected="0">
            <x v="0"/>
          </reference>
          <reference field="0" count="1" selected="0">
            <x v="26"/>
          </reference>
        </references>
      </pivotArea>
    </chartFormat>
    <chartFormat chart="4" format="12" series="1">
      <pivotArea type="data" outline="0" fieldPosition="0">
        <references count="2">
          <reference field="4294967294" count="1" selected="0">
            <x v="0"/>
          </reference>
          <reference field="0" count="1" selected="0">
            <x v="6"/>
          </reference>
        </references>
      </pivotArea>
    </chartFormat>
    <chartFormat chart="4" format="13" series="1">
      <pivotArea type="data" outline="0" fieldPosition="0">
        <references count="2">
          <reference field="4294967294" count="1" selected="0">
            <x v="0"/>
          </reference>
          <reference field="0" count="1" selected="0">
            <x v="30"/>
          </reference>
        </references>
      </pivotArea>
    </chartFormat>
    <chartFormat chart="4" format="14" series="1">
      <pivotArea type="data" outline="0" fieldPosition="0">
        <references count="2">
          <reference field="4294967294" count="1" selected="0">
            <x v="0"/>
          </reference>
          <reference field="0" count="1" selected="0">
            <x v="33"/>
          </reference>
        </references>
      </pivotArea>
    </chartFormat>
    <chartFormat chart="4" format="15" series="1">
      <pivotArea type="data" outline="0" fieldPosition="0">
        <references count="2">
          <reference field="4294967294" count="1" selected="0">
            <x v="0"/>
          </reference>
          <reference field="0" count="1" selected="0">
            <x v="13"/>
          </reference>
        </references>
      </pivotArea>
    </chartFormat>
    <chartFormat chart="4" format="16" series="1">
      <pivotArea type="data" outline="0" fieldPosition="0">
        <references count="2">
          <reference field="4294967294" count="1" selected="0">
            <x v="0"/>
          </reference>
          <reference field="0" count="1" selected="0">
            <x v="19"/>
          </reference>
        </references>
      </pivotArea>
    </chartFormat>
    <chartFormat chart="4" format="17" series="1">
      <pivotArea type="data" outline="0" fieldPosition="0">
        <references count="2">
          <reference field="4294967294" count="1" selected="0">
            <x v="0"/>
          </reference>
          <reference field="0" count="1" selected="0">
            <x v="4"/>
          </reference>
        </references>
      </pivotArea>
    </chartFormat>
    <chartFormat chart="4" format="18" series="1">
      <pivotArea type="data" outline="0" fieldPosition="0">
        <references count="2">
          <reference field="4294967294" count="1" selected="0">
            <x v="0"/>
          </reference>
          <reference field="0" count="1" selected="0">
            <x v="11"/>
          </reference>
        </references>
      </pivotArea>
    </chartFormat>
    <chartFormat chart="4" format="19" series="1">
      <pivotArea type="data" outline="0" fieldPosition="0">
        <references count="2">
          <reference field="4294967294" count="1" selected="0">
            <x v="0"/>
          </reference>
          <reference field="0" count="1" selected="0">
            <x v="15"/>
          </reference>
        </references>
      </pivotArea>
    </chartFormat>
    <chartFormat chart="4" format="20" series="1">
      <pivotArea type="data" outline="0" fieldPosition="0">
        <references count="2">
          <reference field="4294967294" count="1" selected="0">
            <x v="0"/>
          </reference>
          <reference field="0" count="1" selected="0">
            <x v="5"/>
          </reference>
        </references>
      </pivotArea>
    </chartFormat>
    <chartFormat chart="4" format="21" series="1">
      <pivotArea type="data" outline="0" fieldPosition="0">
        <references count="2">
          <reference field="4294967294" count="1" selected="0">
            <x v="0"/>
          </reference>
          <reference field="0" count="1" selected="0">
            <x v="29"/>
          </reference>
        </references>
      </pivotArea>
    </chartFormat>
    <chartFormat chart="4" format="22" series="1">
      <pivotArea type="data" outline="0" fieldPosition="0">
        <references count="2">
          <reference field="4294967294" count="1" selected="0">
            <x v="0"/>
          </reference>
          <reference field="0" count="1" selected="0">
            <x v="10"/>
          </reference>
        </references>
      </pivotArea>
    </chartFormat>
    <chartFormat chart="4" format="23" series="1">
      <pivotArea type="data" outline="0" fieldPosition="0">
        <references count="2">
          <reference field="4294967294" count="1" selected="0">
            <x v="0"/>
          </reference>
          <reference field="0" count="1" selected="0">
            <x v="35"/>
          </reference>
        </references>
      </pivotArea>
    </chartFormat>
    <chartFormat chart="4" format="24" series="1">
      <pivotArea type="data" outline="0" fieldPosition="0">
        <references count="2">
          <reference field="4294967294" count="1" selected="0">
            <x v="0"/>
          </reference>
          <reference field="0" count="1" selected="0">
            <x v="17"/>
          </reference>
        </references>
      </pivotArea>
    </chartFormat>
    <chartFormat chart="4" format="25" series="1">
      <pivotArea type="data" outline="0" fieldPosition="0">
        <references count="2">
          <reference field="4294967294" count="1" selected="0">
            <x v="0"/>
          </reference>
          <reference field="0" count="1" selected="0">
            <x v="3"/>
          </reference>
        </references>
      </pivotArea>
    </chartFormat>
    <chartFormat chart="4" format="26" series="1">
      <pivotArea type="data" outline="0" fieldPosition="0">
        <references count="2">
          <reference field="4294967294" count="1" selected="0">
            <x v="0"/>
          </reference>
          <reference field="0" count="1" selected="0">
            <x v="32"/>
          </reference>
        </references>
      </pivotArea>
    </chartFormat>
    <chartFormat chart="4" format="27" series="1">
      <pivotArea type="data" outline="0" fieldPosition="0">
        <references count="2">
          <reference field="4294967294" count="1" selected="0">
            <x v="0"/>
          </reference>
          <reference field="0" count="1" selected="0">
            <x v="28"/>
          </reference>
        </references>
      </pivotArea>
    </chartFormat>
    <chartFormat chart="4" format="28" series="1">
      <pivotArea type="data" outline="0" fieldPosition="0">
        <references count="2">
          <reference field="4294967294" count="1" selected="0">
            <x v="0"/>
          </reference>
          <reference field="0" count="1" selected="0">
            <x v="25"/>
          </reference>
        </references>
      </pivotArea>
    </chartFormat>
    <chartFormat chart="4" format="29" series="1">
      <pivotArea type="data" outline="0" fieldPosition="0">
        <references count="2">
          <reference field="4294967294" count="1" selected="0">
            <x v="0"/>
          </reference>
          <reference field="0" count="1" selected="0">
            <x v="16"/>
          </reference>
        </references>
      </pivotArea>
    </chartFormat>
    <chartFormat chart="4" format="30" series="1">
      <pivotArea type="data" outline="0" fieldPosition="0">
        <references count="2">
          <reference field="4294967294" count="1" selected="0">
            <x v="0"/>
          </reference>
          <reference field="0" count="1" selected="0">
            <x v="1"/>
          </reference>
        </references>
      </pivotArea>
    </chartFormat>
    <chartFormat chart="4" format="31" series="1">
      <pivotArea type="data" outline="0" fieldPosition="0">
        <references count="2">
          <reference field="4294967294" count="1" selected="0">
            <x v="0"/>
          </reference>
          <reference field="0" count="1" selected="0">
            <x v="31"/>
          </reference>
        </references>
      </pivotArea>
    </chartFormat>
    <chartFormat chart="4" format="32" series="1">
      <pivotArea type="data" outline="0" fieldPosition="0">
        <references count="2">
          <reference field="4294967294" count="1" selected="0">
            <x v="0"/>
          </reference>
          <reference field="0" count="1" selected="0">
            <x v="2"/>
          </reference>
        </references>
      </pivotArea>
    </chartFormat>
    <chartFormat chart="4" format="33" series="1">
      <pivotArea type="data" outline="0" fieldPosition="0">
        <references count="2">
          <reference field="4294967294" count="1" selected="0">
            <x v="0"/>
          </reference>
          <reference field="0" count="1" selected="0">
            <x v="18"/>
          </reference>
        </references>
      </pivotArea>
    </chartFormat>
    <chartFormat chart="4" format="34" series="1">
      <pivotArea type="data" outline="0" fieldPosition="0">
        <references count="2">
          <reference field="4294967294" count="1" selected="0">
            <x v="0"/>
          </reference>
          <reference field="0" count="1" selected="0">
            <x v="23"/>
          </reference>
        </references>
      </pivotArea>
    </chartFormat>
    <chartFormat chart="4" format="35" series="1">
      <pivotArea type="data" outline="0" fieldPosition="0">
        <references count="2">
          <reference field="4294967294" count="1" selected="0">
            <x v="0"/>
          </reference>
          <reference field="0" count="1" selected="0">
            <x v="7"/>
          </reference>
        </references>
      </pivotArea>
    </chartFormat>
    <chartFormat chart="12" format="3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9423F4-ADBE-4FCA-A802-6EFEEBF3C6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0" firstHeaderRow="1" firstDataRow="1" firstDataCol="1" rowPageCount="1" colPageCount="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dataField="1" showAll="0"/>
    <pivotField name=" Recovered Avg" axis="axisPage" showAll="0">
      <items count="3">
        <item x="1"/>
        <item x="0"/>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8" hier="-1"/>
  </pageFields>
  <dataFields count="1">
    <dataField name="Average of Recovered %" fld="7"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33F07C56-D1C7-4117-9833-1BA58A7AE5CA}" sourceName="Zone">
  <pivotTables>
    <pivotTable tabId="7" name="PivotTable12"/>
  </pivotTables>
  <data>
    <tabular pivotCacheId="99307420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th_Avg" xr10:uid="{8C840272-3EFB-4F65-8BA9-1112C73DEB47}" sourceName="Death Avg">
  <pivotTables>
    <pivotTable tabId="15" name="PivotTable1"/>
  </pivotTables>
  <data>
    <tabular pivotCacheId="99307420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 xr10:uid="{EC3D5683-159A-411E-BD06-4592E93588C1}" sourceName="Discharge Avg">
  <pivotTables>
    <pivotTable tabId="16" name="PivotTable1"/>
  </pivotTables>
  <data>
    <tabular pivotCacheId="99307420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A2BA51D2-F5BC-4E16-BC84-E252F64B538D}" sourceName="State/UTs">
  <pivotTables>
    <pivotTable tabId="8" name="PivotTable13"/>
    <pivotTable tabId="9" name="PivotTable14"/>
  </pivotTables>
  <data>
    <tabular pivotCacheId="993074200">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07F3B1F8-8D49-4C91-904D-CCB5D58DFCB9}" cache="Slicer_Zone" caption="Zone" rowHeight="241300"/>
  <slicer name="Death Avg 1" xr10:uid="{017FFCF3-8DB0-42E0-B4AB-C53033A4C8ED}" cache="Slicer_Death_Avg" caption="Death Avg" columnCount="2" rowHeight="241300"/>
  <slicer name="Discharge Avg 1" xr10:uid="{B7B32458-B72E-420A-B5F5-5477F50C4B41}" cache="Slicer_Discharge_Avg" caption="Recovered Avg" columnCount="2" rowHeight="241300"/>
  <slicer name="State/UTs" xr10:uid="{FD7BAB1B-FC08-45E7-BE91-47B513CDA16F}" cache="Slicer_State_UTs" caption="State/U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BDD8B566-2ACF-4F32-A234-DC9F03B9269A}" cache="Slicer_Zone" caption="Zo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th Avg" xr10:uid="{88DEB5B7-9E8A-467F-A207-87F8AC055F5F}" cache="Slicer_Death_Avg" caption="Death Avg" columnCoun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harge Avg" xr10:uid="{DD6F4106-4D6B-4694-B605-DD994E4C9E43}" cache="Slicer_Discharge_Avg" caption="Recovered Avg"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F1277-02A5-4281-8058-69DA595FD5A7}">
  <sheetPr>
    <pageSetUpPr fitToPage="1"/>
  </sheetPr>
  <dimension ref="A5:D39"/>
  <sheetViews>
    <sheetView showGridLines="0" zoomScale="85" zoomScaleNormal="85" workbookViewId="0">
      <selection activeCell="X34" sqref="X34"/>
    </sheetView>
  </sheetViews>
  <sheetFormatPr defaultRowHeight="15" x14ac:dyDescent="0.25"/>
  <cols>
    <col min="1" max="1" width="15.140625" bestFit="1" customWidth="1"/>
    <col min="2" max="2" width="13.85546875" bestFit="1" customWidth="1"/>
    <col min="3" max="3" width="20.7109375" bestFit="1" customWidth="1"/>
    <col min="4" max="4" width="14.42578125" bestFit="1" customWidth="1"/>
  </cols>
  <sheetData>
    <row r="5" spans="1:4" x14ac:dyDescent="0.25">
      <c r="A5" s="8" t="s">
        <v>2</v>
      </c>
      <c r="B5" s="9"/>
      <c r="C5" s="9"/>
      <c r="D5" s="9"/>
    </row>
    <row r="6" spans="1:4" ht="15.75" x14ac:dyDescent="0.25">
      <c r="A6" s="5" t="s">
        <v>60</v>
      </c>
      <c r="C6" s="5" t="s">
        <v>61</v>
      </c>
    </row>
    <row r="7" spans="1:4" ht="15.75" x14ac:dyDescent="0.25">
      <c r="A7" s="6" t="s">
        <v>62</v>
      </c>
      <c r="B7" s="6" t="s">
        <v>63</v>
      </c>
      <c r="C7" s="6" t="s">
        <v>62</v>
      </c>
      <c r="D7" s="6" t="s">
        <v>63</v>
      </c>
    </row>
    <row r="8" spans="1:4" x14ac:dyDescent="0.25">
      <c r="A8" s="3" t="s">
        <v>38</v>
      </c>
      <c r="B8" s="7">
        <v>6623344</v>
      </c>
      <c r="C8" s="3" t="s">
        <v>12</v>
      </c>
      <c r="D8" s="7">
        <v>7670</v>
      </c>
    </row>
    <row r="9" spans="1:4" x14ac:dyDescent="0.25">
      <c r="A9" s="3" t="s">
        <v>34</v>
      </c>
      <c r="B9" s="7">
        <v>5055224</v>
      </c>
      <c r="C9" s="3" t="s">
        <v>36</v>
      </c>
      <c r="D9" s="7">
        <v>10365</v>
      </c>
    </row>
    <row r="10" spans="1:4" x14ac:dyDescent="0.25">
      <c r="A10" s="3" t="s">
        <v>33</v>
      </c>
      <c r="B10" s="7">
        <v>2991614</v>
      </c>
      <c r="C10" s="3" t="s">
        <v>24</v>
      </c>
      <c r="D10" s="7">
        <v>10682</v>
      </c>
    </row>
    <row r="11" spans="1:4" x14ac:dyDescent="0.25">
      <c r="A11" s="3" t="s">
        <v>48</v>
      </c>
      <c r="B11" s="7">
        <v>2714025</v>
      </c>
      <c r="C11" s="3" t="s">
        <v>35</v>
      </c>
      <c r="D11" s="7">
        <v>21148</v>
      </c>
    </row>
    <row r="12" spans="1:4" x14ac:dyDescent="0.25">
      <c r="A12" s="3" t="s">
        <v>16</v>
      </c>
      <c r="B12" s="7">
        <v>2069770</v>
      </c>
      <c r="C12" s="3" t="s">
        <v>42</v>
      </c>
      <c r="D12" s="7">
        <v>31978</v>
      </c>
    </row>
    <row r="14" spans="1:4" ht="15.75" x14ac:dyDescent="0.25">
      <c r="A14" s="10" t="s">
        <v>64</v>
      </c>
      <c r="B14" s="10"/>
      <c r="C14" s="10"/>
      <c r="D14" s="10"/>
    </row>
    <row r="15" spans="1:4" ht="15.75" x14ac:dyDescent="0.25">
      <c r="A15" s="5" t="s">
        <v>60</v>
      </c>
      <c r="C15" s="5" t="s">
        <v>61</v>
      </c>
    </row>
    <row r="16" spans="1:4" ht="15.75" x14ac:dyDescent="0.25">
      <c r="A16" s="6" t="s">
        <v>62</v>
      </c>
      <c r="B16" s="6" t="s">
        <v>65</v>
      </c>
      <c r="C16" s="6" t="s">
        <v>62</v>
      </c>
      <c r="D16" s="6" t="s">
        <v>66</v>
      </c>
    </row>
    <row r="17" spans="1:4" x14ac:dyDescent="0.25">
      <c r="A17" s="3" t="s">
        <v>24</v>
      </c>
      <c r="B17">
        <v>99.96</v>
      </c>
      <c r="C17" s="3" t="s">
        <v>41</v>
      </c>
      <c r="D17">
        <v>95.25</v>
      </c>
    </row>
    <row r="18" spans="1:4" x14ac:dyDescent="0.25">
      <c r="A18" s="3" t="s">
        <v>36</v>
      </c>
      <c r="B18">
        <v>99.51</v>
      </c>
      <c r="C18" s="3" t="s">
        <v>45</v>
      </c>
      <c r="D18">
        <v>97.2</v>
      </c>
    </row>
    <row r="19" spans="1:4" x14ac:dyDescent="0.25">
      <c r="A19" s="3" t="s">
        <v>17</v>
      </c>
      <c r="B19">
        <v>99.42</v>
      </c>
      <c r="C19" s="3" t="s">
        <v>42</v>
      </c>
      <c r="D19">
        <v>97.33</v>
      </c>
    </row>
    <row r="20" spans="1:4" x14ac:dyDescent="0.25">
      <c r="A20" s="3" t="s">
        <v>16</v>
      </c>
      <c r="B20">
        <v>99.15</v>
      </c>
      <c r="C20" s="3" t="s">
        <v>38</v>
      </c>
      <c r="D20">
        <v>97.64</v>
      </c>
    </row>
    <row r="21" spans="1:4" x14ac:dyDescent="0.25">
      <c r="A21" s="3" t="s">
        <v>46</v>
      </c>
      <c r="B21">
        <v>99.05</v>
      </c>
      <c r="C21" s="3" t="s">
        <v>39</v>
      </c>
      <c r="D21">
        <v>97.79</v>
      </c>
    </row>
    <row r="23" spans="1:4" ht="15.75" x14ac:dyDescent="0.25">
      <c r="A23" s="11" t="s">
        <v>68</v>
      </c>
      <c r="B23" s="12"/>
      <c r="C23" s="12"/>
      <c r="D23" s="12"/>
    </row>
    <row r="24" spans="1:4" ht="15.75" x14ac:dyDescent="0.25">
      <c r="A24" s="5" t="s">
        <v>60</v>
      </c>
      <c r="C24" s="5" t="s">
        <v>61</v>
      </c>
    </row>
    <row r="25" spans="1:4" ht="15.75" x14ac:dyDescent="0.25">
      <c r="A25" s="6" t="s">
        <v>62</v>
      </c>
      <c r="B25" s="6" t="s">
        <v>69</v>
      </c>
      <c r="C25" s="6" t="s">
        <v>62</v>
      </c>
      <c r="D25" s="6" t="s">
        <v>69</v>
      </c>
    </row>
    <row r="26" spans="1:4" x14ac:dyDescent="0.25">
      <c r="A26" s="3" t="s">
        <v>45</v>
      </c>
      <c r="B26">
        <v>2.75</v>
      </c>
      <c r="C26" s="3" t="s">
        <v>24</v>
      </c>
      <c r="D26">
        <v>0.04</v>
      </c>
    </row>
    <row r="27" spans="1:4" x14ac:dyDescent="0.25">
      <c r="A27" s="3" t="s">
        <v>42</v>
      </c>
      <c r="B27">
        <v>2.16</v>
      </c>
      <c r="C27" s="3" t="s">
        <v>41</v>
      </c>
      <c r="D27">
        <v>0.36</v>
      </c>
    </row>
    <row r="28" spans="1:4" x14ac:dyDescent="0.25">
      <c r="A28" s="3" t="s">
        <v>52</v>
      </c>
      <c r="B28">
        <v>2.15</v>
      </c>
      <c r="C28" s="3" t="s">
        <v>36</v>
      </c>
      <c r="D28">
        <v>0.49</v>
      </c>
    </row>
    <row r="29" spans="1:4" x14ac:dyDescent="0.25">
      <c r="A29" s="3" t="s">
        <v>38</v>
      </c>
      <c r="B29">
        <v>2.12</v>
      </c>
      <c r="C29" s="3" t="s">
        <v>17</v>
      </c>
      <c r="D29">
        <v>0.51</v>
      </c>
    </row>
    <row r="30" spans="1:4" x14ac:dyDescent="0.25">
      <c r="A30" s="3" t="s">
        <v>27</v>
      </c>
      <c r="B30">
        <v>1.89</v>
      </c>
      <c r="C30" s="3" t="s">
        <v>49</v>
      </c>
      <c r="D30">
        <v>0.59</v>
      </c>
    </row>
    <row r="32" spans="1:4" ht="15.75" x14ac:dyDescent="0.25">
      <c r="A32" s="13" t="s">
        <v>3</v>
      </c>
      <c r="B32" s="13"/>
      <c r="C32" s="13"/>
      <c r="D32" s="13"/>
    </row>
    <row r="33" spans="1:4" ht="15.75" x14ac:dyDescent="0.25">
      <c r="A33" s="5" t="s">
        <v>60</v>
      </c>
      <c r="C33" s="5" t="s">
        <v>61</v>
      </c>
    </row>
    <row r="34" spans="1:4" ht="15.75" x14ac:dyDescent="0.25">
      <c r="A34" s="6" t="s">
        <v>62</v>
      </c>
      <c r="B34" s="6" t="s">
        <v>71</v>
      </c>
      <c r="C34" s="6" t="s">
        <v>62</v>
      </c>
      <c r="D34" s="6" t="s">
        <v>71</v>
      </c>
    </row>
    <row r="35" spans="1:4" x14ac:dyDescent="0.25">
      <c r="A35" s="3" t="s">
        <v>41</v>
      </c>
      <c r="B35">
        <v>4.3899999999999997</v>
      </c>
      <c r="C35" s="3" t="s">
        <v>36</v>
      </c>
      <c r="D35">
        <v>0</v>
      </c>
    </row>
    <row r="36" spans="1:4" x14ac:dyDescent="0.25">
      <c r="A36" s="3" t="s">
        <v>34</v>
      </c>
      <c r="B36">
        <v>1.37</v>
      </c>
      <c r="C36" s="3" t="s">
        <v>24</v>
      </c>
      <c r="D36">
        <v>0</v>
      </c>
    </row>
    <row r="37" spans="1:4" x14ac:dyDescent="0.25">
      <c r="A37" s="3" t="s">
        <v>35</v>
      </c>
      <c r="B37">
        <v>0.73</v>
      </c>
      <c r="C37" s="3" t="s">
        <v>20</v>
      </c>
      <c r="D37">
        <v>0</v>
      </c>
    </row>
    <row r="38" spans="1:4" x14ac:dyDescent="0.25">
      <c r="A38" s="3" t="s">
        <v>39</v>
      </c>
      <c r="B38">
        <v>0.64</v>
      </c>
      <c r="C38" s="3" t="s">
        <v>37</v>
      </c>
      <c r="D38">
        <v>0.01</v>
      </c>
    </row>
    <row r="39" spans="1:4" x14ac:dyDescent="0.25">
      <c r="A39" s="3" t="s">
        <v>49</v>
      </c>
      <c r="B39">
        <v>0.56000000000000005</v>
      </c>
      <c r="C39" s="3" t="s">
        <v>46</v>
      </c>
      <c r="D39">
        <v>0.01</v>
      </c>
    </row>
  </sheetData>
  <mergeCells count="4">
    <mergeCell ref="A5:D5"/>
    <mergeCell ref="A14:D14"/>
    <mergeCell ref="A23:D23"/>
    <mergeCell ref="A32:D32"/>
  </mergeCells>
  <conditionalFormatting sqref="B8:B12">
    <cfRule type="dataBar" priority="8">
      <dataBar>
        <cfvo type="min"/>
        <cfvo type="max"/>
        <color rgb="FFFFB628"/>
      </dataBar>
      <extLst>
        <ext xmlns:x14="http://schemas.microsoft.com/office/spreadsheetml/2009/9/main" uri="{B025F937-C7B1-47D3-B67F-A62EFF666E3E}">
          <x14:id>{0D4F9ABF-C8BF-4D88-B5F6-D6B734DB5E07}</x14:id>
        </ext>
      </extLst>
    </cfRule>
  </conditionalFormatting>
  <conditionalFormatting sqref="B17:B21">
    <cfRule type="dataBar" priority="6">
      <dataBar>
        <cfvo type="min"/>
        <cfvo type="max"/>
        <color rgb="FF63C384"/>
      </dataBar>
      <extLst>
        <ext xmlns:x14="http://schemas.microsoft.com/office/spreadsheetml/2009/9/main" uri="{B025F937-C7B1-47D3-B67F-A62EFF666E3E}">
          <x14:id>{237E0643-CA30-409D-9A48-3E5D8E3EE829}</x14:id>
        </ext>
      </extLst>
    </cfRule>
  </conditionalFormatting>
  <conditionalFormatting sqref="B26:B30">
    <cfRule type="dataBar" priority="4">
      <dataBar>
        <cfvo type="min"/>
        <cfvo type="max"/>
        <color rgb="FFFF555A"/>
      </dataBar>
      <extLst>
        <ext xmlns:x14="http://schemas.microsoft.com/office/spreadsheetml/2009/9/main" uri="{B025F937-C7B1-47D3-B67F-A62EFF666E3E}">
          <x14:id>{AFF05939-8F04-41A1-A09A-6EB74B9713F4}</x14:id>
        </ext>
      </extLst>
    </cfRule>
  </conditionalFormatting>
  <conditionalFormatting sqref="B35:B39">
    <cfRule type="dataBar" priority="2">
      <dataBar>
        <cfvo type="min"/>
        <cfvo type="max"/>
        <color rgb="FF008AEF"/>
      </dataBar>
      <extLst>
        <ext xmlns:x14="http://schemas.microsoft.com/office/spreadsheetml/2009/9/main" uri="{B025F937-C7B1-47D3-B67F-A62EFF666E3E}">
          <x14:id>{6A470065-6384-47CA-BF56-B48E1DDC10D1}</x14:id>
        </ext>
      </extLst>
    </cfRule>
  </conditionalFormatting>
  <conditionalFormatting sqref="D8:D12">
    <cfRule type="dataBar" priority="7">
      <dataBar>
        <cfvo type="min"/>
        <cfvo type="max"/>
        <color rgb="FFFFB628"/>
      </dataBar>
      <extLst>
        <ext xmlns:x14="http://schemas.microsoft.com/office/spreadsheetml/2009/9/main" uri="{B025F937-C7B1-47D3-B67F-A62EFF666E3E}">
          <x14:id>{026BAAFC-B649-4B50-8589-1F42FEE27C50}</x14:id>
        </ext>
      </extLst>
    </cfRule>
  </conditionalFormatting>
  <conditionalFormatting sqref="D17:D21">
    <cfRule type="dataBar" priority="5">
      <dataBar>
        <cfvo type="min"/>
        <cfvo type="max"/>
        <color rgb="FF63C384"/>
      </dataBar>
      <extLst>
        <ext xmlns:x14="http://schemas.microsoft.com/office/spreadsheetml/2009/9/main" uri="{B025F937-C7B1-47D3-B67F-A62EFF666E3E}">
          <x14:id>{2FD52E67-0108-44B6-82DB-8B1EADBEDC88}</x14:id>
        </ext>
      </extLst>
    </cfRule>
  </conditionalFormatting>
  <conditionalFormatting sqref="D26:D30">
    <cfRule type="dataBar" priority="3">
      <dataBar>
        <cfvo type="min"/>
        <cfvo type="max"/>
        <color rgb="FFFF555A"/>
      </dataBar>
      <extLst>
        <ext xmlns:x14="http://schemas.microsoft.com/office/spreadsheetml/2009/9/main" uri="{B025F937-C7B1-47D3-B67F-A62EFF666E3E}">
          <x14:id>{8525BAE0-C65A-4331-9E6F-75B5F7456554}</x14:id>
        </ext>
      </extLst>
    </cfRule>
  </conditionalFormatting>
  <conditionalFormatting sqref="D35:D39">
    <cfRule type="dataBar" priority="1">
      <dataBar>
        <cfvo type="min"/>
        <cfvo type="max"/>
        <color rgb="FF008AEF"/>
      </dataBar>
      <extLst>
        <ext xmlns:x14="http://schemas.microsoft.com/office/spreadsheetml/2009/9/main" uri="{B025F937-C7B1-47D3-B67F-A62EFF666E3E}">
          <x14:id>{C3AE64B4-3708-4297-B9D7-E0C952CEA3B5}</x14:id>
        </ext>
      </extLst>
    </cfRule>
  </conditionalFormatting>
  <printOptions horizontalCentered="1"/>
  <pageMargins left="0" right="0" top="1.5748031496062993" bottom="0.39370078740157483" header="0" footer="0"/>
  <pageSetup paperSize="3" scale="91" orientation="landscape" r:id="rId1"/>
  <drawing r:id="rId2"/>
  <extLst>
    <ext xmlns:x14="http://schemas.microsoft.com/office/spreadsheetml/2009/9/main" uri="{78C0D931-6437-407d-A8EE-F0AAD7539E65}">
      <x14:conditionalFormattings>
        <x14:conditionalFormatting xmlns:xm="http://schemas.microsoft.com/office/excel/2006/main">
          <x14:cfRule type="dataBar" id="{0D4F9ABF-C8BF-4D88-B5F6-D6B734DB5E07}">
            <x14:dataBar minLength="0" maxLength="100" border="1" negativeBarBorderColorSameAsPositive="0">
              <x14:cfvo type="autoMin"/>
              <x14:cfvo type="autoMax"/>
              <x14:borderColor rgb="FFFFB628"/>
              <x14:negativeFillColor rgb="FFFF0000"/>
              <x14:negativeBorderColor rgb="FFFF0000"/>
              <x14:axisColor rgb="FF000000"/>
            </x14:dataBar>
          </x14:cfRule>
          <xm:sqref>B8:B12</xm:sqref>
        </x14:conditionalFormatting>
        <x14:conditionalFormatting xmlns:xm="http://schemas.microsoft.com/office/excel/2006/main">
          <x14:cfRule type="dataBar" id="{237E0643-CA30-409D-9A48-3E5D8E3EE829}">
            <x14:dataBar minLength="0" maxLength="100" border="1" negativeBarBorderColorSameAsPositive="0">
              <x14:cfvo type="autoMin"/>
              <x14:cfvo type="autoMax"/>
              <x14:borderColor rgb="FF63C384"/>
              <x14:negativeFillColor rgb="FFFF0000"/>
              <x14:negativeBorderColor rgb="FFFF0000"/>
              <x14:axisColor rgb="FF000000"/>
            </x14:dataBar>
          </x14:cfRule>
          <xm:sqref>B17:B21</xm:sqref>
        </x14:conditionalFormatting>
        <x14:conditionalFormatting xmlns:xm="http://schemas.microsoft.com/office/excel/2006/main">
          <x14:cfRule type="dataBar" id="{AFF05939-8F04-41A1-A09A-6EB74B9713F4}">
            <x14:dataBar minLength="0" maxLength="100" border="1" negativeBarBorderColorSameAsPositive="0">
              <x14:cfvo type="autoMin"/>
              <x14:cfvo type="autoMax"/>
              <x14:borderColor rgb="FFFF555A"/>
              <x14:negativeFillColor rgb="FFFF0000"/>
              <x14:negativeBorderColor rgb="FFFF0000"/>
              <x14:axisColor rgb="FF000000"/>
            </x14:dataBar>
          </x14:cfRule>
          <xm:sqref>B26:B30</xm:sqref>
        </x14:conditionalFormatting>
        <x14:conditionalFormatting xmlns:xm="http://schemas.microsoft.com/office/excel/2006/main">
          <x14:cfRule type="dataBar" id="{6A470065-6384-47CA-BF56-B48E1DDC10D1}">
            <x14:dataBar minLength="0" maxLength="100" border="1" negativeBarBorderColorSameAsPositive="0">
              <x14:cfvo type="autoMin"/>
              <x14:cfvo type="autoMax"/>
              <x14:borderColor rgb="FF008AEF"/>
              <x14:negativeFillColor rgb="FFFF0000"/>
              <x14:negativeBorderColor rgb="FFFF0000"/>
              <x14:axisColor rgb="FF000000"/>
            </x14:dataBar>
          </x14:cfRule>
          <xm:sqref>B35:B39</xm:sqref>
        </x14:conditionalFormatting>
        <x14:conditionalFormatting xmlns:xm="http://schemas.microsoft.com/office/excel/2006/main">
          <x14:cfRule type="dataBar" id="{026BAAFC-B649-4B50-8589-1F42FEE27C50}">
            <x14:dataBar minLength="0" maxLength="100" border="1" negativeBarBorderColorSameAsPositive="0">
              <x14:cfvo type="autoMin"/>
              <x14:cfvo type="autoMax"/>
              <x14:borderColor rgb="FFFFB628"/>
              <x14:negativeFillColor rgb="FFFF0000"/>
              <x14:negativeBorderColor rgb="FFFF0000"/>
              <x14:axisColor rgb="FF000000"/>
            </x14:dataBar>
          </x14:cfRule>
          <xm:sqref>D8:D12</xm:sqref>
        </x14:conditionalFormatting>
        <x14:conditionalFormatting xmlns:xm="http://schemas.microsoft.com/office/excel/2006/main">
          <x14:cfRule type="dataBar" id="{2FD52E67-0108-44B6-82DB-8B1EADBEDC88}">
            <x14:dataBar minLength="0" maxLength="100" border="1" negativeBarBorderColorSameAsPositive="0">
              <x14:cfvo type="autoMin"/>
              <x14:cfvo type="autoMax"/>
              <x14:borderColor rgb="FF63C384"/>
              <x14:negativeFillColor rgb="FFFF0000"/>
              <x14:negativeBorderColor rgb="FFFF0000"/>
              <x14:axisColor rgb="FF000000"/>
            </x14:dataBar>
          </x14:cfRule>
          <xm:sqref>D17:D21</xm:sqref>
        </x14:conditionalFormatting>
        <x14:conditionalFormatting xmlns:xm="http://schemas.microsoft.com/office/excel/2006/main">
          <x14:cfRule type="dataBar" id="{8525BAE0-C65A-4331-9E6F-75B5F7456554}">
            <x14:dataBar minLength="0" maxLength="100" border="1" negativeBarBorderColorSameAsPositive="0">
              <x14:cfvo type="autoMin"/>
              <x14:cfvo type="autoMax"/>
              <x14:borderColor rgb="FFFF555A"/>
              <x14:negativeFillColor rgb="FFFF0000"/>
              <x14:negativeBorderColor rgb="FFFF0000"/>
              <x14:axisColor rgb="FF000000"/>
            </x14:dataBar>
          </x14:cfRule>
          <xm:sqref>D26:D30</xm:sqref>
        </x14:conditionalFormatting>
        <x14:conditionalFormatting xmlns:xm="http://schemas.microsoft.com/office/excel/2006/main">
          <x14:cfRule type="dataBar" id="{C3AE64B4-3708-4297-B9D7-E0C952CEA3B5}">
            <x14:dataBar minLength="0" maxLength="100" border="1" negativeBarBorderColorSameAsPositive="0">
              <x14:cfvo type="autoMin"/>
              <x14:cfvo type="autoMax"/>
              <x14:borderColor rgb="FF008AEF"/>
              <x14:negativeFillColor rgb="FFFF0000"/>
              <x14:negativeBorderColor rgb="FFFF0000"/>
              <x14:axisColor rgb="FF000000"/>
            </x14:dataBar>
          </x14:cfRule>
          <xm:sqref>D35:D39</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646BB-930A-4F2E-9DEA-99A1B8730600}">
  <dimension ref="A3:B9"/>
  <sheetViews>
    <sheetView zoomScaleNormal="100" workbookViewId="0">
      <selection activeCell="B7" sqref="B7"/>
    </sheetView>
  </sheetViews>
  <sheetFormatPr defaultRowHeight="15" x14ac:dyDescent="0.25"/>
  <cols>
    <col min="1" max="1" width="15.140625" bestFit="1" customWidth="1"/>
    <col min="2" max="2" width="17.7109375" bestFit="1" customWidth="1"/>
  </cols>
  <sheetData>
    <row r="3" spans="1:2" x14ac:dyDescent="0.25">
      <c r="A3" s="2" t="s">
        <v>54</v>
      </c>
      <c r="B3" t="s">
        <v>56</v>
      </c>
    </row>
    <row r="4" spans="1:2" x14ac:dyDescent="0.25">
      <c r="A4" s="3" t="s">
        <v>38</v>
      </c>
      <c r="B4" s="7">
        <v>6623344</v>
      </c>
    </row>
    <row r="5" spans="1:2" x14ac:dyDescent="0.25">
      <c r="A5" s="3" t="s">
        <v>34</v>
      </c>
      <c r="B5" s="7">
        <v>5055224</v>
      </c>
    </row>
    <row r="6" spans="1:2" x14ac:dyDescent="0.25">
      <c r="A6" s="3" t="s">
        <v>33</v>
      </c>
      <c r="B6" s="7">
        <v>2991614</v>
      </c>
    </row>
    <row r="7" spans="1:2" x14ac:dyDescent="0.25">
      <c r="A7" s="3" t="s">
        <v>48</v>
      </c>
      <c r="B7" s="7">
        <v>2714025</v>
      </c>
    </row>
    <row r="8" spans="1:2" x14ac:dyDescent="0.25">
      <c r="A8" s="3" t="s">
        <v>16</v>
      </c>
      <c r="B8" s="7">
        <v>2069770</v>
      </c>
    </row>
    <row r="9" spans="1:2" x14ac:dyDescent="0.25">
      <c r="A9" s="3" t="s">
        <v>55</v>
      </c>
      <c r="B9" s="7">
        <v>19453977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0EE1-5686-4EF6-8CD4-C3B96101A237}">
  <dimension ref="A3:B9"/>
  <sheetViews>
    <sheetView workbookViewId="0">
      <selection activeCell="A4" sqref="A4:B8"/>
      <pivotSelection pane="bottomRight" showHeader="1" extendable="1" axis="axisRow" max="6" activeRow="3" previousRow="7" click="1" r:id="rId1">
        <pivotArea dataOnly="0" axis="axisRow" fieldPosition="0">
          <references count="1">
            <reference field="0" count="5">
              <x v="20"/>
              <x v="21"/>
              <x v="23"/>
              <x v="24"/>
              <x v="27"/>
            </reference>
          </references>
        </pivotArea>
      </pivotSelection>
    </sheetView>
  </sheetViews>
  <sheetFormatPr defaultRowHeight="15" x14ac:dyDescent="0.25"/>
  <cols>
    <col min="1" max="1" width="13.140625" bestFit="1" customWidth="1"/>
    <col min="2" max="2" width="21.5703125" bestFit="1" customWidth="1"/>
  </cols>
  <sheetData>
    <row r="3" spans="1:2" x14ac:dyDescent="0.25">
      <c r="A3" s="2" t="s">
        <v>54</v>
      </c>
      <c r="B3" t="s">
        <v>67</v>
      </c>
    </row>
    <row r="4" spans="1:2" x14ac:dyDescent="0.25">
      <c r="A4" s="3" t="s">
        <v>41</v>
      </c>
      <c r="B4">
        <v>95.25</v>
      </c>
    </row>
    <row r="5" spans="1:2" x14ac:dyDescent="0.25">
      <c r="A5" s="3" t="s">
        <v>45</v>
      </c>
      <c r="B5">
        <v>97.2</v>
      </c>
    </row>
    <row r="6" spans="1:2" x14ac:dyDescent="0.25">
      <c r="A6" s="3" t="s">
        <v>42</v>
      </c>
      <c r="B6">
        <v>97.33</v>
      </c>
    </row>
    <row r="7" spans="1:2" x14ac:dyDescent="0.25">
      <c r="A7" s="3" t="s">
        <v>38</v>
      </c>
      <c r="B7">
        <v>97.64</v>
      </c>
    </row>
    <row r="8" spans="1:2" x14ac:dyDescent="0.25">
      <c r="A8" s="3" t="s">
        <v>39</v>
      </c>
      <c r="B8">
        <v>97.79</v>
      </c>
    </row>
    <row r="9" spans="1:2" x14ac:dyDescent="0.25">
      <c r="A9" s="3" t="s">
        <v>55</v>
      </c>
      <c r="B9">
        <v>485.21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8F5A-19A6-482B-A4F4-638343D6E0C0}">
  <dimension ref="A3:B9"/>
  <sheetViews>
    <sheetView workbookViewId="0">
      <selection activeCell="A4" sqref="A4:B8"/>
      <pivotSelection pane="bottomRight" showHeader="1" extendable="1" axis="axisRow" max="6" activeRow="3" previousRow="7" click="1" r:id="rId1">
        <pivotArea dataOnly="0" axis="axisRow" fieldPosition="0">
          <references count="1">
            <reference field="0" count="5">
              <x v="2"/>
              <x v="7"/>
              <x v="18"/>
              <x v="23"/>
              <x v="31"/>
            </reference>
          </references>
        </pivotArea>
      </pivotSelection>
    </sheetView>
  </sheetViews>
  <sheetFormatPr defaultRowHeight="15" x14ac:dyDescent="0.25"/>
  <cols>
    <col min="1" max="1" width="17.7109375" bestFit="1" customWidth="1"/>
    <col min="2" max="2" width="18.140625" bestFit="1" customWidth="1"/>
  </cols>
  <sheetData>
    <row r="3" spans="1:2" x14ac:dyDescent="0.25">
      <c r="A3" s="2" t="s">
        <v>54</v>
      </c>
      <c r="B3" t="s">
        <v>70</v>
      </c>
    </row>
    <row r="4" spans="1:2" x14ac:dyDescent="0.25">
      <c r="A4" s="3" t="s">
        <v>24</v>
      </c>
      <c r="B4">
        <v>0.04</v>
      </c>
    </row>
    <row r="5" spans="1:2" x14ac:dyDescent="0.25">
      <c r="A5" s="3" t="s">
        <v>41</v>
      </c>
      <c r="B5">
        <v>0.36</v>
      </c>
    </row>
    <row r="6" spans="1:2" x14ac:dyDescent="0.25">
      <c r="A6" s="3" t="s">
        <v>36</v>
      </c>
      <c r="B6">
        <v>0.49</v>
      </c>
    </row>
    <row r="7" spans="1:2" x14ac:dyDescent="0.25">
      <c r="A7" s="3" t="s">
        <v>17</v>
      </c>
      <c r="B7">
        <v>0.51</v>
      </c>
    </row>
    <row r="8" spans="1:2" x14ac:dyDescent="0.25">
      <c r="A8" s="3" t="s">
        <v>49</v>
      </c>
      <c r="B8">
        <v>0.59</v>
      </c>
    </row>
    <row r="9" spans="1:2" x14ac:dyDescent="0.25">
      <c r="A9" s="3" t="s">
        <v>55</v>
      </c>
      <c r="B9">
        <v>1.9899999999999998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B3AC-805D-4DBF-AFDF-0E2447B5205B}">
  <dimension ref="A3:B10"/>
  <sheetViews>
    <sheetView workbookViewId="0">
      <selection activeCell="A4" sqref="A4:B8"/>
      <pivotSelection pane="bottomRight" showHeader="1" extendable="1" axis="axisRow" max="7" activeRow="3" previousRow="7" click="1" r:id="rId1">
        <pivotArea dataOnly="0" axis="axisRow" fieldPosition="0">
          <references count="1">
            <reference field="0" count="5">
              <x v="4"/>
              <x v="7"/>
              <x v="18"/>
              <x v="19"/>
              <x v="28"/>
            </reference>
          </references>
        </pivotArea>
      </pivotSelection>
    </sheetView>
  </sheetViews>
  <sheetFormatPr defaultRowHeight="15" x14ac:dyDescent="0.25"/>
  <cols>
    <col min="1" max="1" width="15.7109375" bestFit="1" customWidth="1"/>
    <col min="2" max="2" width="18.42578125" bestFit="1" customWidth="1"/>
  </cols>
  <sheetData>
    <row r="3" spans="1:2" x14ac:dyDescent="0.25">
      <c r="A3" s="2" t="s">
        <v>54</v>
      </c>
      <c r="B3" t="s">
        <v>72</v>
      </c>
    </row>
    <row r="4" spans="1:2" x14ac:dyDescent="0.25">
      <c r="A4" s="3" t="s">
        <v>36</v>
      </c>
      <c r="B4">
        <v>0</v>
      </c>
    </row>
    <row r="5" spans="1:2" x14ac:dyDescent="0.25">
      <c r="A5" s="3" t="s">
        <v>24</v>
      </c>
      <c r="B5">
        <v>0</v>
      </c>
    </row>
    <row r="6" spans="1:2" x14ac:dyDescent="0.25">
      <c r="A6" s="3" t="s">
        <v>20</v>
      </c>
      <c r="B6">
        <v>0</v>
      </c>
    </row>
    <row r="7" spans="1:2" x14ac:dyDescent="0.25">
      <c r="A7" s="3" t="s">
        <v>37</v>
      </c>
      <c r="B7">
        <v>0.01</v>
      </c>
    </row>
    <row r="8" spans="1:2" x14ac:dyDescent="0.25">
      <c r="A8" s="3" t="s">
        <v>46</v>
      </c>
      <c r="B8">
        <v>0.01</v>
      </c>
    </row>
    <row r="9" spans="1:2" x14ac:dyDescent="0.25">
      <c r="A9" s="3" t="s">
        <v>51</v>
      </c>
      <c r="B9">
        <v>0.01</v>
      </c>
    </row>
    <row r="10" spans="1:2" x14ac:dyDescent="0.25">
      <c r="A10" s="3" t="s">
        <v>55</v>
      </c>
      <c r="B10">
        <v>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1C3E-B10E-4C61-9592-02608BD737A2}">
  <dimension ref="A3:C40"/>
  <sheetViews>
    <sheetView topLeftCell="A24" zoomScaleNormal="100" workbookViewId="0">
      <selection activeCell="A3" sqref="A3:C39"/>
    </sheetView>
  </sheetViews>
  <sheetFormatPr defaultRowHeight="15" x14ac:dyDescent="0.25"/>
  <cols>
    <col min="1" max="1" width="20.7109375" bestFit="1" customWidth="1"/>
    <col min="2" max="2" width="13.28515625" bestFit="1" customWidth="1"/>
    <col min="3" max="3" width="13.85546875" bestFit="1" customWidth="1"/>
  </cols>
  <sheetData>
    <row r="3" spans="1:3" x14ac:dyDescent="0.25">
      <c r="A3" s="2" t="s">
        <v>54</v>
      </c>
      <c r="B3" t="s">
        <v>59</v>
      </c>
      <c r="C3" t="s">
        <v>58</v>
      </c>
    </row>
    <row r="4" spans="1:3" x14ac:dyDescent="0.25">
      <c r="A4" s="3" t="s">
        <v>12</v>
      </c>
      <c r="B4" s="14">
        <v>7</v>
      </c>
      <c r="C4" s="14">
        <v>129</v>
      </c>
    </row>
    <row r="5" spans="1:3" x14ac:dyDescent="0.25">
      <c r="A5" s="3" t="s">
        <v>16</v>
      </c>
      <c r="B5" s="14">
        <v>3128</v>
      </c>
      <c r="C5" s="14">
        <v>14412</v>
      </c>
    </row>
    <row r="6" spans="1:3" x14ac:dyDescent="0.25">
      <c r="A6" s="3" t="s">
        <v>17</v>
      </c>
      <c r="B6" s="14">
        <v>42</v>
      </c>
      <c r="C6" s="14">
        <v>280</v>
      </c>
    </row>
    <row r="7" spans="1:3" x14ac:dyDescent="0.25">
      <c r="A7" s="3" t="s">
        <v>19</v>
      </c>
      <c r="B7" s="14">
        <v>3272</v>
      </c>
      <c r="C7" s="14">
        <v>6047</v>
      </c>
    </row>
    <row r="8" spans="1:3" x14ac:dyDescent="0.25">
      <c r="A8" s="3" t="s">
        <v>20</v>
      </c>
      <c r="B8" s="14">
        <v>29</v>
      </c>
      <c r="C8" s="14">
        <v>9662</v>
      </c>
    </row>
    <row r="9" spans="1:3" x14ac:dyDescent="0.25">
      <c r="A9" s="3" t="s">
        <v>21</v>
      </c>
      <c r="B9" s="14">
        <v>24</v>
      </c>
      <c r="C9" s="14">
        <v>820</v>
      </c>
    </row>
    <row r="10" spans="1:3" x14ac:dyDescent="0.25">
      <c r="A10" s="3" t="s">
        <v>23</v>
      </c>
      <c r="B10" s="14">
        <v>230</v>
      </c>
      <c r="C10" s="14">
        <v>13588</v>
      </c>
    </row>
    <row r="11" spans="1:3" x14ac:dyDescent="0.25">
      <c r="A11" s="3" t="s">
        <v>24</v>
      </c>
      <c r="B11" s="14">
        <v>0</v>
      </c>
      <c r="C11" s="14">
        <v>4</v>
      </c>
    </row>
    <row r="12" spans="1:3" x14ac:dyDescent="0.25">
      <c r="A12" s="3" t="s">
        <v>26</v>
      </c>
      <c r="B12" s="14">
        <v>361</v>
      </c>
      <c r="C12" s="14">
        <v>25093</v>
      </c>
    </row>
    <row r="13" spans="1:3" x14ac:dyDescent="0.25">
      <c r="A13" s="3" t="s">
        <v>27</v>
      </c>
      <c r="B13" s="14">
        <v>263</v>
      </c>
      <c r="C13" s="14">
        <v>3374</v>
      </c>
    </row>
    <row r="14" spans="1:3" x14ac:dyDescent="0.25">
      <c r="A14" s="3" t="s">
        <v>28</v>
      </c>
      <c r="B14" s="14">
        <v>226</v>
      </c>
      <c r="C14" s="14">
        <v>10090</v>
      </c>
    </row>
    <row r="15" spans="1:3" x14ac:dyDescent="0.25">
      <c r="A15" s="3" t="s">
        <v>29</v>
      </c>
      <c r="B15" s="14">
        <v>140</v>
      </c>
      <c r="C15" s="14">
        <v>10050</v>
      </c>
    </row>
    <row r="16" spans="1:3" x14ac:dyDescent="0.25">
      <c r="A16" s="3" t="s">
        <v>30</v>
      </c>
      <c r="B16" s="14">
        <v>1100</v>
      </c>
      <c r="C16" s="14">
        <v>3812</v>
      </c>
    </row>
    <row r="17" spans="1:3" x14ac:dyDescent="0.25">
      <c r="A17" s="3" t="s">
        <v>31</v>
      </c>
      <c r="B17" s="14">
        <v>1450</v>
      </c>
      <c r="C17" s="14">
        <v>4448</v>
      </c>
    </row>
    <row r="18" spans="1:3" x14ac:dyDescent="0.25">
      <c r="A18" s="3" t="s">
        <v>32</v>
      </c>
      <c r="B18" s="14">
        <v>141</v>
      </c>
      <c r="C18" s="14">
        <v>5138</v>
      </c>
    </row>
    <row r="19" spans="1:3" x14ac:dyDescent="0.25">
      <c r="A19" s="3" t="s">
        <v>33</v>
      </c>
      <c r="B19" s="14">
        <v>8056</v>
      </c>
      <c r="C19" s="14">
        <v>38143</v>
      </c>
    </row>
    <row r="20" spans="1:3" x14ac:dyDescent="0.25">
      <c r="A20" s="3" t="s">
        <v>34</v>
      </c>
      <c r="B20" s="14">
        <v>69258</v>
      </c>
      <c r="C20" s="14">
        <v>35685</v>
      </c>
    </row>
    <row r="21" spans="1:3" x14ac:dyDescent="0.25">
      <c r="A21" s="3" t="s">
        <v>35</v>
      </c>
      <c r="B21" s="14">
        <v>154</v>
      </c>
      <c r="C21" s="14">
        <v>211</v>
      </c>
    </row>
    <row r="22" spans="1:3" x14ac:dyDescent="0.25">
      <c r="A22" s="3" t="s">
        <v>36</v>
      </c>
      <c r="B22" s="14">
        <v>0</v>
      </c>
      <c r="C22" s="14">
        <v>51</v>
      </c>
    </row>
    <row r="23" spans="1:3" x14ac:dyDescent="0.25">
      <c r="A23" s="3" t="s">
        <v>37</v>
      </c>
      <c r="B23" s="14">
        <v>75</v>
      </c>
      <c r="C23" s="14">
        <v>10524</v>
      </c>
    </row>
    <row r="24" spans="1:3" x14ac:dyDescent="0.25">
      <c r="A24" s="3" t="s">
        <v>38</v>
      </c>
      <c r="B24" s="14">
        <v>15866</v>
      </c>
      <c r="C24" s="14">
        <v>140565</v>
      </c>
    </row>
    <row r="25" spans="1:3" x14ac:dyDescent="0.25">
      <c r="A25" s="3" t="s">
        <v>39</v>
      </c>
      <c r="B25" s="14">
        <v>799</v>
      </c>
      <c r="C25" s="14">
        <v>1946</v>
      </c>
    </row>
    <row r="26" spans="1:3" x14ac:dyDescent="0.25">
      <c r="A26" s="3" t="s">
        <v>40</v>
      </c>
      <c r="B26" s="14">
        <v>277</v>
      </c>
      <c r="C26" s="14">
        <v>1462</v>
      </c>
    </row>
    <row r="27" spans="1:3" x14ac:dyDescent="0.25">
      <c r="A27" s="3" t="s">
        <v>41</v>
      </c>
      <c r="B27" s="14">
        <v>5651</v>
      </c>
      <c r="C27" s="14">
        <v>459</v>
      </c>
    </row>
    <row r="28" spans="1:3" x14ac:dyDescent="0.25">
      <c r="A28" s="3" t="s">
        <v>42</v>
      </c>
      <c r="B28" s="14">
        <v>163</v>
      </c>
      <c r="C28" s="14">
        <v>692</v>
      </c>
    </row>
    <row r="29" spans="1:3" x14ac:dyDescent="0.25">
      <c r="A29" s="3" t="s">
        <v>43</v>
      </c>
      <c r="B29" s="14">
        <v>2534</v>
      </c>
      <c r="C29" s="14">
        <v>8375</v>
      </c>
    </row>
    <row r="30" spans="1:3" x14ac:dyDescent="0.25">
      <c r="A30" s="3" t="s">
        <v>44</v>
      </c>
      <c r="B30" s="14">
        <v>275</v>
      </c>
      <c r="C30" s="14">
        <v>1863</v>
      </c>
    </row>
    <row r="31" spans="1:3" x14ac:dyDescent="0.25">
      <c r="A31" s="3" t="s">
        <v>45</v>
      </c>
      <c r="B31" s="14">
        <v>318</v>
      </c>
      <c r="C31" s="14">
        <v>16571</v>
      </c>
    </row>
    <row r="32" spans="1:3" x14ac:dyDescent="0.25">
      <c r="A32" s="3" t="s">
        <v>46</v>
      </c>
      <c r="B32" s="14">
        <v>71</v>
      </c>
      <c r="C32" s="14">
        <v>8954</v>
      </c>
    </row>
    <row r="33" spans="1:3" x14ac:dyDescent="0.25">
      <c r="A33" s="3" t="s">
        <v>47</v>
      </c>
      <c r="B33" s="14">
        <v>121</v>
      </c>
      <c r="C33" s="14">
        <v>400</v>
      </c>
    </row>
    <row r="34" spans="1:3" x14ac:dyDescent="0.25">
      <c r="A34" s="3" t="s">
        <v>48</v>
      </c>
      <c r="B34" s="14">
        <v>9751</v>
      </c>
      <c r="C34" s="14">
        <v>36273</v>
      </c>
    </row>
    <row r="35" spans="1:3" x14ac:dyDescent="0.25">
      <c r="A35" s="3" t="s">
        <v>49</v>
      </c>
      <c r="B35" s="14">
        <v>3741</v>
      </c>
      <c r="C35" s="14">
        <v>3973</v>
      </c>
    </row>
    <row r="36" spans="1:3" x14ac:dyDescent="0.25">
      <c r="A36" s="3" t="s">
        <v>50</v>
      </c>
      <c r="B36" s="14">
        <v>116</v>
      </c>
      <c r="C36" s="14">
        <v>817</v>
      </c>
    </row>
    <row r="37" spans="1:3" x14ac:dyDescent="0.25">
      <c r="A37" s="3" t="s">
        <v>51</v>
      </c>
      <c r="B37" s="14">
        <v>90</v>
      </c>
      <c r="C37" s="14">
        <v>22909</v>
      </c>
    </row>
    <row r="38" spans="1:3" x14ac:dyDescent="0.25">
      <c r="A38" s="3" t="s">
        <v>52</v>
      </c>
      <c r="B38" s="14">
        <v>158</v>
      </c>
      <c r="C38" s="14">
        <v>7403</v>
      </c>
    </row>
    <row r="39" spans="1:3" x14ac:dyDescent="0.25">
      <c r="A39" s="3" t="s">
        <v>53</v>
      </c>
      <c r="B39" s="14">
        <v>8031</v>
      </c>
      <c r="C39" s="14">
        <v>19307</v>
      </c>
    </row>
    <row r="40" spans="1:3" x14ac:dyDescent="0.25">
      <c r="A40" s="3" t="s">
        <v>55</v>
      </c>
      <c r="B40" s="14">
        <v>135918</v>
      </c>
      <c r="C40" s="14">
        <v>463530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3247-7FE2-4F3A-9A32-26DED8188E72}">
  <dimension ref="A3:B8"/>
  <sheetViews>
    <sheetView workbookViewId="0">
      <selection activeCell="K8" sqref="K8"/>
    </sheetView>
  </sheetViews>
  <sheetFormatPr defaultRowHeight="15" x14ac:dyDescent="0.25"/>
  <cols>
    <col min="1" max="1" width="13.140625" bestFit="1" customWidth="1"/>
    <col min="2" max="2" width="17.7109375" bestFit="1" customWidth="1"/>
  </cols>
  <sheetData>
    <row r="3" spans="1:2" x14ac:dyDescent="0.25">
      <c r="A3" s="2" t="s">
        <v>54</v>
      </c>
      <c r="B3" t="s">
        <v>56</v>
      </c>
    </row>
    <row r="4" spans="1:2" x14ac:dyDescent="0.25">
      <c r="A4" s="3" t="s">
        <v>18</v>
      </c>
      <c r="B4" s="4">
        <v>0.17088403573485</v>
      </c>
    </row>
    <row r="5" spans="1:2" x14ac:dyDescent="0.25">
      <c r="A5" s="3" t="s">
        <v>22</v>
      </c>
      <c r="B5" s="4">
        <v>0.16014919517371087</v>
      </c>
    </row>
    <row r="6" spans="1:2" x14ac:dyDescent="0.25">
      <c r="A6" s="3" t="s">
        <v>13</v>
      </c>
      <c r="B6" s="4">
        <v>0.39638807993900338</v>
      </c>
    </row>
    <row r="7" spans="1:2" x14ac:dyDescent="0.25">
      <c r="A7" s="3" t="s">
        <v>25</v>
      </c>
      <c r="B7" s="4">
        <v>0.27257868915243577</v>
      </c>
    </row>
    <row r="8" spans="1:2" x14ac:dyDescent="0.25">
      <c r="A8" s="3" t="s">
        <v>55</v>
      </c>
      <c r="B8"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70C11-2B0A-43E9-84A3-F1A3649E0747}">
  <dimension ref="A3:C40"/>
  <sheetViews>
    <sheetView topLeftCell="A13" workbookViewId="0">
      <selection activeCell="H23" sqref="H23"/>
    </sheetView>
  </sheetViews>
  <sheetFormatPr defaultRowHeight="15" x14ac:dyDescent="0.25"/>
  <cols>
    <col min="1" max="1" width="20.7109375" bestFit="1" customWidth="1"/>
    <col min="2" max="2" width="17.7109375" bestFit="1" customWidth="1"/>
    <col min="3" max="3" width="17.5703125" bestFit="1" customWidth="1"/>
  </cols>
  <sheetData>
    <row r="3" spans="1:3" x14ac:dyDescent="0.25">
      <c r="A3" s="2" t="s">
        <v>54</v>
      </c>
      <c r="B3" t="s">
        <v>56</v>
      </c>
      <c r="C3" t="s">
        <v>57</v>
      </c>
    </row>
    <row r="4" spans="1:3" x14ac:dyDescent="0.25">
      <c r="A4" s="3" t="s">
        <v>12</v>
      </c>
      <c r="B4" s="14">
        <v>7670</v>
      </c>
      <c r="C4" s="14">
        <v>7534</v>
      </c>
    </row>
    <row r="5" spans="1:3" x14ac:dyDescent="0.25">
      <c r="A5" s="3" t="s">
        <v>16</v>
      </c>
      <c r="B5" s="14">
        <v>2069770</v>
      </c>
      <c r="C5" s="14">
        <v>2052230</v>
      </c>
    </row>
    <row r="6" spans="1:3" x14ac:dyDescent="0.25">
      <c r="A6" s="3" t="s">
        <v>17</v>
      </c>
      <c r="B6" s="14">
        <v>55216</v>
      </c>
      <c r="C6" s="14">
        <v>54894</v>
      </c>
    </row>
    <row r="7" spans="1:3" x14ac:dyDescent="0.25">
      <c r="A7" s="3" t="s">
        <v>19</v>
      </c>
      <c r="B7" s="14">
        <v>613784</v>
      </c>
      <c r="C7" s="14">
        <v>604465</v>
      </c>
    </row>
    <row r="8" spans="1:3" x14ac:dyDescent="0.25">
      <c r="A8" s="3" t="s">
        <v>20</v>
      </c>
      <c r="B8" s="14">
        <v>726153</v>
      </c>
      <c r="C8" s="14">
        <v>716462</v>
      </c>
    </row>
    <row r="9" spans="1:3" x14ac:dyDescent="0.25">
      <c r="A9" s="3" t="s">
        <v>21</v>
      </c>
      <c r="B9" s="14">
        <v>65380</v>
      </c>
      <c r="C9" s="14">
        <v>64536</v>
      </c>
    </row>
    <row r="10" spans="1:3" x14ac:dyDescent="0.25">
      <c r="A10" s="3" t="s">
        <v>23</v>
      </c>
      <c r="B10" s="14">
        <v>1006326</v>
      </c>
      <c r="C10" s="14">
        <v>992508</v>
      </c>
    </row>
    <row r="11" spans="1:3" x14ac:dyDescent="0.25">
      <c r="A11" s="3" t="s">
        <v>24</v>
      </c>
      <c r="B11" s="14">
        <v>10682</v>
      </c>
      <c r="C11" s="14">
        <v>10678</v>
      </c>
    </row>
    <row r="12" spans="1:3" x14ac:dyDescent="0.25">
      <c r="A12" s="3" t="s">
        <v>26</v>
      </c>
      <c r="B12" s="14">
        <v>1440388</v>
      </c>
      <c r="C12" s="14">
        <v>1414934</v>
      </c>
    </row>
    <row r="13" spans="1:3" x14ac:dyDescent="0.25">
      <c r="A13" s="3" t="s">
        <v>27</v>
      </c>
      <c r="B13" s="14">
        <v>178467</v>
      </c>
      <c r="C13" s="14">
        <v>174830</v>
      </c>
    </row>
    <row r="14" spans="1:3" x14ac:dyDescent="0.25">
      <c r="A14" s="3" t="s">
        <v>28</v>
      </c>
      <c r="B14" s="14">
        <v>826924</v>
      </c>
      <c r="C14" s="14">
        <v>816608</v>
      </c>
    </row>
    <row r="15" spans="1:3" x14ac:dyDescent="0.25">
      <c r="A15" s="3" t="s">
        <v>29</v>
      </c>
      <c r="B15" s="14">
        <v>771420</v>
      </c>
      <c r="C15" s="14">
        <v>761230</v>
      </c>
    </row>
    <row r="16" spans="1:3" x14ac:dyDescent="0.25">
      <c r="A16" s="3" t="s">
        <v>30</v>
      </c>
      <c r="B16" s="14">
        <v>225712</v>
      </c>
      <c r="C16" s="14">
        <v>220800</v>
      </c>
    </row>
    <row r="17" spans="1:3" x14ac:dyDescent="0.25">
      <c r="A17" s="3" t="s">
        <v>31</v>
      </c>
      <c r="B17" s="14">
        <v>334006</v>
      </c>
      <c r="C17" s="14">
        <v>328108</v>
      </c>
    </row>
    <row r="18" spans="1:3" x14ac:dyDescent="0.25">
      <c r="A18" s="3" t="s">
        <v>32</v>
      </c>
      <c r="B18" s="14">
        <v>348992</v>
      </c>
      <c r="C18" s="14">
        <v>343713</v>
      </c>
    </row>
    <row r="19" spans="1:3" x14ac:dyDescent="0.25">
      <c r="A19" s="3" t="s">
        <v>33</v>
      </c>
      <c r="B19" s="14">
        <v>2991614</v>
      </c>
      <c r="C19" s="14">
        <v>2945415</v>
      </c>
    </row>
    <row r="20" spans="1:3" x14ac:dyDescent="0.25">
      <c r="A20" s="3" t="s">
        <v>34</v>
      </c>
      <c r="B20" s="14">
        <v>5055224</v>
      </c>
      <c r="C20" s="14">
        <v>4950281</v>
      </c>
    </row>
    <row r="21" spans="1:3" x14ac:dyDescent="0.25">
      <c r="A21" s="3" t="s">
        <v>35</v>
      </c>
      <c r="B21" s="14">
        <v>21148</v>
      </c>
      <c r="C21" s="14">
        <v>20783</v>
      </c>
    </row>
    <row r="22" spans="1:3" x14ac:dyDescent="0.25">
      <c r="A22" s="3" t="s">
        <v>36</v>
      </c>
      <c r="B22" s="14">
        <v>10365</v>
      </c>
      <c r="C22" s="14">
        <v>10314</v>
      </c>
    </row>
    <row r="23" spans="1:3" x14ac:dyDescent="0.25">
      <c r="A23" s="3" t="s">
        <v>37</v>
      </c>
      <c r="B23" s="14">
        <v>792956</v>
      </c>
      <c r="C23" s="14">
        <v>782357</v>
      </c>
    </row>
    <row r="24" spans="1:3" x14ac:dyDescent="0.25">
      <c r="A24" s="3" t="s">
        <v>38</v>
      </c>
      <c r="B24" s="14">
        <v>6623344</v>
      </c>
      <c r="C24" s="14">
        <v>6466913</v>
      </c>
    </row>
    <row r="25" spans="1:3" x14ac:dyDescent="0.25">
      <c r="A25" s="3" t="s">
        <v>39</v>
      </c>
      <c r="B25" s="14">
        <v>124432</v>
      </c>
      <c r="C25" s="14">
        <v>121687</v>
      </c>
    </row>
    <row r="26" spans="1:3" x14ac:dyDescent="0.25">
      <c r="A26" s="3" t="s">
        <v>40</v>
      </c>
      <c r="B26" s="14">
        <v>84013</v>
      </c>
      <c r="C26" s="14">
        <v>82274</v>
      </c>
    </row>
    <row r="27" spans="1:3" x14ac:dyDescent="0.25">
      <c r="A27" s="3" t="s">
        <v>41</v>
      </c>
      <c r="B27" s="14">
        <v>128604</v>
      </c>
      <c r="C27" s="14">
        <v>122494</v>
      </c>
    </row>
    <row r="28" spans="1:3" x14ac:dyDescent="0.25">
      <c r="A28" s="3" t="s">
        <v>42</v>
      </c>
      <c r="B28" s="14">
        <v>31978</v>
      </c>
      <c r="C28" s="14">
        <v>31123</v>
      </c>
    </row>
    <row r="29" spans="1:3" x14ac:dyDescent="0.25">
      <c r="A29" s="3" t="s">
        <v>43</v>
      </c>
      <c r="B29" s="14">
        <v>1045209</v>
      </c>
      <c r="C29" s="14">
        <v>1034300</v>
      </c>
    </row>
    <row r="30" spans="1:3" x14ac:dyDescent="0.25">
      <c r="A30" s="3" t="s">
        <v>44</v>
      </c>
      <c r="B30" s="14">
        <v>128401</v>
      </c>
      <c r="C30" s="14">
        <v>126263</v>
      </c>
    </row>
    <row r="31" spans="1:3" x14ac:dyDescent="0.25">
      <c r="A31" s="3" t="s">
        <v>45</v>
      </c>
      <c r="B31" s="14">
        <v>602778</v>
      </c>
      <c r="C31" s="14">
        <v>585889</v>
      </c>
    </row>
    <row r="32" spans="1:3" x14ac:dyDescent="0.25">
      <c r="A32" s="3" t="s">
        <v>46</v>
      </c>
      <c r="B32" s="14">
        <v>954503</v>
      </c>
      <c r="C32" s="14">
        <v>945478</v>
      </c>
    </row>
    <row r="33" spans="1:3" x14ac:dyDescent="0.25">
      <c r="A33" s="3" t="s">
        <v>47</v>
      </c>
      <c r="B33" s="14">
        <v>32096</v>
      </c>
      <c r="C33" s="14">
        <v>31575</v>
      </c>
    </row>
    <row r="34" spans="1:3" x14ac:dyDescent="0.25">
      <c r="A34" s="3" t="s">
        <v>48</v>
      </c>
      <c r="B34" s="14">
        <v>2714025</v>
      </c>
      <c r="C34" s="14">
        <v>2668001</v>
      </c>
    </row>
    <row r="35" spans="1:3" x14ac:dyDescent="0.25">
      <c r="A35" s="3" t="s">
        <v>49</v>
      </c>
      <c r="B35" s="14">
        <v>673469</v>
      </c>
      <c r="C35" s="14">
        <v>665755</v>
      </c>
    </row>
    <row r="36" spans="1:3" x14ac:dyDescent="0.25">
      <c r="A36" s="3" t="s">
        <v>50</v>
      </c>
      <c r="B36" s="14">
        <v>84665</v>
      </c>
      <c r="C36" s="14">
        <v>83732</v>
      </c>
    </row>
    <row r="37" spans="1:3" x14ac:dyDescent="0.25">
      <c r="A37" s="3" t="s">
        <v>51</v>
      </c>
      <c r="B37" s="14">
        <v>1710261</v>
      </c>
      <c r="C37" s="14">
        <v>1687262</v>
      </c>
    </row>
    <row r="38" spans="1:3" x14ac:dyDescent="0.25">
      <c r="A38" s="3" t="s">
        <v>52</v>
      </c>
      <c r="B38" s="14">
        <v>344014</v>
      </c>
      <c r="C38" s="14">
        <v>336453</v>
      </c>
    </row>
    <row r="39" spans="1:3" x14ac:dyDescent="0.25">
      <c r="A39" s="3" t="s">
        <v>53</v>
      </c>
      <c r="B39" s="14">
        <v>1603318</v>
      </c>
      <c r="C39" s="14">
        <v>1575980</v>
      </c>
    </row>
    <row r="40" spans="1:3" x14ac:dyDescent="0.25">
      <c r="A40" s="3" t="s">
        <v>55</v>
      </c>
      <c r="B40" s="14">
        <v>34437307</v>
      </c>
      <c r="C40" s="14">
        <v>33837859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FD3EF-6516-4AE0-8F08-B02C55AFB092}">
  <dimension ref="A1:B40"/>
  <sheetViews>
    <sheetView workbookViewId="0">
      <selection activeCell="J5" sqref="J5"/>
    </sheetView>
  </sheetViews>
  <sheetFormatPr defaultRowHeight="15" x14ac:dyDescent="0.25"/>
  <cols>
    <col min="1" max="1" width="20.7109375" bestFit="1" customWidth="1"/>
    <col min="2" max="2" width="21.7109375" bestFit="1" customWidth="1"/>
    <col min="3" max="3" width="9.28515625" bestFit="1" customWidth="1"/>
    <col min="4" max="4" width="12" bestFit="1" customWidth="1"/>
    <col min="5" max="5" width="12.140625" bestFit="1" customWidth="1"/>
    <col min="6" max="6" width="5" bestFit="1" customWidth="1"/>
    <col min="7" max="7" width="10.7109375" bestFit="1" customWidth="1"/>
    <col min="8" max="8" width="5.7109375" bestFit="1" customWidth="1"/>
    <col min="9" max="9" width="16.85546875" bestFit="1" customWidth="1"/>
    <col min="10" max="10" width="20.7109375" bestFit="1" customWidth="1"/>
    <col min="11" max="11" width="8.5703125" bestFit="1" customWidth="1"/>
    <col min="12" max="12" width="10" bestFit="1" customWidth="1"/>
    <col min="13" max="13" width="11.140625" bestFit="1" customWidth="1"/>
    <col min="14" max="14" width="12.140625" bestFit="1" customWidth="1"/>
    <col min="15" max="15" width="11" bestFit="1" customWidth="1"/>
    <col min="16" max="16" width="13.28515625" bestFit="1" customWidth="1"/>
    <col min="17" max="17" width="18.85546875" bestFit="1" customWidth="1"/>
    <col min="18" max="18" width="15.85546875" bestFit="1" customWidth="1"/>
    <col min="19" max="19" width="5.5703125" bestFit="1" customWidth="1"/>
    <col min="20" max="20" width="8.140625" bestFit="1" customWidth="1"/>
    <col min="21" max="21" width="9.7109375" bestFit="1" customWidth="1"/>
    <col min="22" max="22" width="11" bestFit="1" customWidth="1"/>
    <col min="23" max="23" width="6.85546875" bestFit="1" customWidth="1"/>
    <col min="24" max="24" width="7.5703125" bestFit="1" customWidth="1"/>
    <col min="25" max="25" width="12.140625" bestFit="1" customWidth="1"/>
    <col min="26" max="26" width="7.140625" bestFit="1" customWidth="1"/>
    <col min="27" max="27" width="6.7109375" bestFit="1" customWidth="1"/>
    <col min="28" max="28" width="7.28515625" bestFit="1" customWidth="1"/>
    <col min="29" max="29" width="9.5703125" bestFit="1" customWidth="1"/>
    <col min="30" max="30" width="7.140625" bestFit="1" customWidth="1"/>
    <col min="31" max="31" width="6.5703125" bestFit="1" customWidth="1"/>
    <col min="32" max="32" width="15.140625" bestFit="1" customWidth="1"/>
    <col min="33" max="33" width="10.140625" bestFit="1" customWidth="1"/>
    <col min="34" max="34" width="17.7109375" bestFit="1" customWidth="1"/>
    <col min="35" max="35" width="13.140625" bestFit="1" customWidth="1"/>
    <col min="36" max="36" width="8.85546875" bestFit="1" customWidth="1"/>
    <col min="37" max="37" width="14.42578125" bestFit="1" customWidth="1"/>
    <col min="38" max="38" width="12" bestFit="1" customWidth="1"/>
  </cols>
  <sheetData>
    <row r="1" spans="1:2" x14ac:dyDescent="0.25">
      <c r="A1" s="2" t="s">
        <v>10</v>
      </c>
      <c r="B1" t="s">
        <v>73</v>
      </c>
    </row>
    <row r="3" spans="1:2" x14ac:dyDescent="0.25">
      <c r="A3" s="2" t="s">
        <v>54</v>
      </c>
      <c r="B3" t="s">
        <v>74</v>
      </c>
    </row>
    <row r="4" spans="1:2" x14ac:dyDescent="0.25">
      <c r="A4" s="3" t="s">
        <v>45</v>
      </c>
      <c r="B4">
        <v>2.75</v>
      </c>
    </row>
    <row r="5" spans="1:2" x14ac:dyDescent="0.25">
      <c r="A5" s="3" t="s">
        <v>42</v>
      </c>
      <c r="B5">
        <v>2.16</v>
      </c>
    </row>
    <row r="6" spans="1:2" x14ac:dyDescent="0.25">
      <c r="A6" s="3" t="s">
        <v>52</v>
      </c>
      <c r="B6">
        <v>2.15</v>
      </c>
    </row>
    <row r="7" spans="1:2" x14ac:dyDescent="0.25">
      <c r="A7" s="3" t="s">
        <v>38</v>
      </c>
      <c r="B7">
        <v>2.12</v>
      </c>
    </row>
    <row r="8" spans="1:2" x14ac:dyDescent="0.25">
      <c r="A8" s="3" t="s">
        <v>27</v>
      </c>
      <c r="B8">
        <v>1.89</v>
      </c>
    </row>
    <row r="9" spans="1:2" x14ac:dyDescent="0.25">
      <c r="A9" s="3" t="s">
        <v>40</v>
      </c>
      <c r="B9">
        <v>1.74</v>
      </c>
    </row>
    <row r="10" spans="1:2" x14ac:dyDescent="0.25">
      <c r="A10" s="3" t="s">
        <v>26</v>
      </c>
      <c r="B10">
        <v>1.74</v>
      </c>
    </row>
    <row r="11" spans="1:2" x14ac:dyDescent="0.25">
      <c r="A11" s="3" t="s">
        <v>30</v>
      </c>
      <c r="B11">
        <v>1.69</v>
      </c>
    </row>
    <row r="12" spans="1:2" x14ac:dyDescent="0.25">
      <c r="A12" s="3" t="s">
        <v>12</v>
      </c>
      <c r="B12">
        <v>1.68</v>
      </c>
    </row>
    <row r="13" spans="1:2" x14ac:dyDescent="0.25">
      <c r="A13" s="3" t="s">
        <v>39</v>
      </c>
      <c r="B13">
        <v>1.56</v>
      </c>
    </row>
    <row r="14" spans="1:2" x14ac:dyDescent="0.25">
      <c r="A14" s="3" t="s">
        <v>32</v>
      </c>
      <c r="B14">
        <v>1.47</v>
      </c>
    </row>
    <row r="15" spans="1:2" x14ac:dyDescent="0.25">
      <c r="A15" s="3" t="s">
        <v>44</v>
      </c>
      <c r="B15">
        <v>1.45</v>
      </c>
    </row>
    <row r="16" spans="1:2" x14ac:dyDescent="0.25">
      <c r="A16" s="3" t="s">
        <v>23</v>
      </c>
      <c r="B16">
        <v>1.35</v>
      </c>
    </row>
    <row r="17" spans="1:2" x14ac:dyDescent="0.25">
      <c r="A17" s="3" t="s">
        <v>48</v>
      </c>
      <c r="B17">
        <v>1.34</v>
      </c>
    </row>
    <row r="18" spans="1:2" x14ac:dyDescent="0.25">
      <c r="A18" s="3" t="s">
        <v>51</v>
      </c>
      <c r="B18">
        <v>1.34</v>
      </c>
    </row>
    <row r="19" spans="1:2" x14ac:dyDescent="0.25">
      <c r="A19" s="3" t="s">
        <v>31</v>
      </c>
      <c r="B19">
        <v>1.33</v>
      </c>
    </row>
    <row r="20" spans="1:2" x14ac:dyDescent="0.25">
      <c r="A20" s="3" t="s">
        <v>37</v>
      </c>
      <c r="B20">
        <v>1.33</v>
      </c>
    </row>
    <row r="21" spans="1:2" x14ac:dyDescent="0.25">
      <c r="A21" s="3" t="s">
        <v>20</v>
      </c>
      <c r="B21">
        <v>1.33</v>
      </c>
    </row>
    <row r="22" spans="1:2" x14ac:dyDescent="0.25">
      <c r="A22" s="3" t="s">
        <v>29</v>
      </c>
      <c r="B22">
        <v>1.3</v>
      </c>
    </row>
    <row r="23" spans="1:2" x14ac:dyDescent="0.25">
      <c r="A23" s="3" t="s">
        <v>33</v>
      </c>
      <c r="B23">
        <v>1.27</v>
      </c>
    </row>
    <row r="24" spans="1:2" x14ac:dyDescent="0.25">
      <c r="A24" s="3" t="s">
        <v>21</v>
      </c>
      <c r="B24">
        <v>1.25</v>
      </c>
    </row>
    <row r="25" spans="1:2" x14ac:dyDescent="0.25">
      <c r="A25" s="3" t="s">
        <v>47</v>
      </c>
      <c r="B25">
        <v>1.25</v>
      </c>
    </row>
    <row r="26" spans="1:2" x14ac:dyDescent="0.25">
      <c r="A26" s="3" t="s">
        <v>28</v>
      </c>
      <c r="B26">
        <v>1.22</v>
      </c>
    </row>
    <row r="27" spans="1:2" x14ac:dyDescent="0.25">
      <c r="A27" s="3" t="s">
        <v>53</v>
      </c>
      <c r="B27">
        <v>1.2</v>
      </c>
    </row>
    <row r="28" spans="1:2" x14ac:dyDescent="0.25">
      <c r="A28" s="3" t="s">
        <v>35</v>
      </c>
      <c r="B28">
        <v>1</v>
      </c>
    </row>
    <row r="29" spans="1:2" x14ac:dyDescent="0.25">
      <c r="A29" s="3" t="s">
        <v>19</v>
      </c>
      <c r="B29">
        <v>0.99</v>
      </c>
    </row>
    <row r="30" spans="1:2" x14ac:dyDescent="0.25">
      <c r="A30" s="3" t="s">
        <v>50</v>
      </c>
      <c r="B30">
        <v>0.96</v>
      </c>
    </row>
    <row r="31" spans="1:2" x14ac:dyDescent="0.25">
      <c r="A31" s="3" t="s">
        <v>46</v>
      </c>
      <c r="B31">
        <v>0.94</v>
      </c>
    </row>
    <row r="32" spans="1:2" x14ac:dyDescent="0.25">
      <c r="A32" s="3" t="s">
        <v>43</v>
      </c>
      <c r="B32">
        <v>0.8</v>
      </c>
    </row>
    <row r="33" spans="1:2" x14ac:dyDescent="0.25">
      <c r="A33" s="3" t="s">
        <v>34</v>
      </c>
      <c r="B33">
        <v>0.71</v>
      </c>
    </row>
    <row r="34" spans="1:2" x14ac:dyDescent="0.25">
      <c r="A34" s="3" t="s">
        <v>16</v>
      </c>
      <c r="B34">
        <v>0.7</v>
      </c>
    </row>
    <row r="35" spans="1:2" x14ac:dyDescent="0.25">
      <c r="A35" s="3" t="s">
        <v>49</v>
      </c>
      <c r="B35">
        <v>0.59</v>
      </c>
    </row>
    <row r="36" spans="1:2" x14ac:dyDescent="0.25">
      <c r="A36" s="3" t="s">
        <v>17</v>
      </c>
      <c r="B36">
        <v>0.51</v>
      </c>
    </row>
    <row r="37" spans="1:2" x14ac:dyDescent="0.25">
      <c r="A37" s="3" t="s">
        <v>36</v>
      </c>
      <c r="B37">
        <v>0.49</v>
      </c>
    </row>
    <row r="38" spans="1:2" x14ac:dyDescent="0.25">
      <c r="A38" s="3" t="s">
        <v>41</v>
      </c>
      <c r="B38">
        <v>0.36</v>
      </c>
    </row>
    <row r="39" spans="1:2" x14ac:dyDescent="0.25">
      <c r="A39" s="3" t="s">
        <v>24</v>
      </c>
      <c r="B39">
        <v>0.04</v>
      </c>
    </row>
    <row r="40" spans="1:2" x14ac:dyDescent="0.25">
      <c r="A40" s="3" t="s">
        <v>55</v>
      </c>
      <c r="B40">
        <v>1.2777777777777779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F76A5-650A-4DD5-A2E2-03CA34DF0C20}">
  <dimension ref="A1:B40"/>
  <sheetViews>
    <sheetView workbookViewId="0">
      <selection activeCell="C1" sqref="C1"/>
    </sheetView>
  </sheetViews>
  <sheetFormatPr defaultRowHeight="15" x14ac:dyDescent="0.25"/>
  <cols>
    <col min="1" max="1" width="20.7109375" bestFit="1" customWidth="1"/>
    <col min="2" max="2" width="22.85546875" bestFit="1" customWidth="1"/>
  </cols>
  <sheetData>
    <row r="1" spans="1:2" x14ac:dyDescent="0.25">
      <c r="A1" s="2" t="s">
        <v>76</v>
      </c>
      <c r="B1" t="s">
        <v>73</v>
      </c>
    </row>
    <row r="3" spans="1:2" x14ac:dyDescent="0.25">
      <c r="A3" s="2" t="s">
        <v>54</v>
      </c>
      <c r="B3" t="s">
        <v>75</v>
      </c>
    </row>
    <row r="4" spans="1:2" x14ac:dyDescent="0.25">
      <c r="A4" s="3" t="s">
        <v>12</v>
      </c>
      <c r="B4" s="14">
        <v>98.23</v>
      </c>
    </row>
    <row r="5" spans="1:2" x14ac:dyDescent="0.25">
      <c r="A5" s="3" t="s">
        <v>16</v>
      </c>
      <c r="B5" s="14">
        <v>99.15</v>
      </c>
    </row>
    <row r="6" spans="1:2" x14ac:dyDescent="0.25">
      <c r="A6" s="3" t="s">
        <v>17</v>
      </c>
      <c r="B6" s="14">
        <v>99.42</v>
      </c>
    </row>
    <row r="7" spans="1:2" x14ac:dyDescent="0.25">
      <c r="A7" s="3" t="s">
        <v>19</v>
      </c>
      <c r="B7" s="14">
        <v>98.48</v>
      </c>
    </row>
    <row r="8" spans="1:2" x14ac:dyDescent="0.25">
      <c r="A8" s="3" t="s">
        <v>20</v>
      </c>
      <c r="B8" s="14">
        <v>98.67</v>
      </c>
    </row>
    <row r="9" spans="1:2" x14ac:dyDescent="0.25">
      <c r="A9" s="3" t="s">
        <v>21</v>
      </c>
      <c r="B9" s="14">
        <v>98.71</v>
      </c>
    </row>
    <row r="10" spans="1:2" x14ac:dyDescent="0.25">
      <c r="A10" s="3" t="s">
        <v>23</v>
      </c>
      <c r="B10" s="14">
        <v>98.63</v>
      </c>
    </row>
    <row r="11" spans="1:2" x14ac:dyDescent="0.25">
      <c r="A11" s="3" t="s">
        <v>24</v>
      </c>
      <c r="B11" s="14">
        <v>99.96</v>
      </c>
    </row>
    <row r="12" spans="1:2" x14ac:dyDescent="0.25">
      <c r="A12" s="3" t="s">
        <v>26</v>
      </c>
      <c r="B12" s="14">
        <v>98.23</v>
      </c>
    </row>
    <row r="13" spans="1:2" x14ac:dyDescent="0.25">
      <c r="A13" s="3" t="s">
        <v>27</v>
      </c>
      <c r="B13" s="14">
        <v>97.96</v>
      </c>
    </row>
    <row r="14" spans="1:2" x14ac:dyDescent="0.25">
      <c r="A14" s="3" t="s">
        <v>28</v>
      </c>
      <c r="B14" s="14">
        <v>98.75</v>
      </c>
    </row>
    <row r="15" spans="1:2" x14ac:dyDescent="0.25">
      <c r="A15" s="3" t="s">
        <v>29</v>
      </c>
      <c r="B15" s="14">
        <v>98.68</v>
      </c>
    </row>
    <row r="16" spans="1:2" x14ac:dyDescent="0.25">
      <c r="A16" s="3" t="s">
        <v>30</v>
      </c>
      <c r="B16" s="14">
        <v>97.82</v>
      </c>
    </row>
    <row r="17" spans="1:2" x14ac:dyDescent="0.25">
      <c r="A17" s="3" t="s">
        <v>31</v>
      </c>
      <c r="B17" s="14">
        <v>98.23</v>
      </c>
    </row>
    <row r="18" spans="1:2" x14ac:dyDescent="0.25">
      <c r="A18" s="3" t="s">
        <v>32</v>
      </c>
      <c r="B18" s="14">
        <v>98.49</v>
      </c>
    </row>
    <row r="19" spans="1:2" x14ac:dyDescent="0.25">
      <c r="A19" s="3" t="s">
        <v>33</v>
      </c>
      <c r="B19" s="14">
        <v>98.46</v>
      </c>
    </row>
    <row r="20" spans="1:2" x14ac:dyDescent="0.25">
      <c r="A20" s="3" t="s">
        <v>34</v>
      </c>
      <c r="B20" s="14">
        <v>97.92</v>
      </c>
    </row>
    <row r="21" spans="1:2" x14ac:dyDescent="0.25">
      <c r="A21" s="3" t="s">
        <v>35</v>
      </c>
      <c r="B21" s="14">
        <v>98.27</v>
      </c>
    </row>
    <row r="22" spans="1:2" x14ac:dyDescent="0.25">
      <c r="A22" s="3" t="s">
        <v>36</v>
      </c>
      <c r="B22" s="14">
        <v>99.51</v>
      </c>
    </row>
    <row r="23" spans="1:2" x14ac:dyDescent="0.25">
      <c r="A23" s="3" t="s">
        <v>37</v>
      </c>
      <c r="B23" s="14">
        <v>98.66</v>
      </c>
    </row>
    <row r="24" spans="1:2" x14ac:dyDescent="0.25">
      <c r="A24" s="3" t="s">
        <v>38</v>
      </c>
      <c r="B24" s="14">
        <v>97.64</v>
      </c>
    </row>
    <row r="25" spans="1:2" x14ac:dyDescent="0.25">
      <c r="A25" s="3" t="s">
        <v>39</v>
      </c>
      <c r="B25" s="14">
        <v>97.79</v>
      </c>
    </row>
    <row r="26" spans="1:2" x14ac:dyDescent="0.25">
      <c r="A26" s="3" t="s">
        <v>40</v>
      </c>
      <c r="B26" s="14">
        <v>97.93</v>
      </c>
    </row>
    <row r="27" spans="1:2" x14ac:dyDescent="0.25">
      <c r="A27" s="3" t="s">
        <v>41</v>
      </c>
      <c r="B27" s="14">
        <v>95.25</v>
      </c>
    </row>
    <row r="28" spans="1:2" x14ac:dyDescent="0.25">
      <c r="A28" s="3" t="s">
        <v>42</v>
      </c>
      <c r="B28" s="14">
        <v>97.33</v>
      </c>
    </row>
    <row r="29" spans="1:2" x14ac:dyDescent="0.25">
      <c r="A29" s="3" t="s">
        <v>43</v>
      </c>
      <c r="B29" s="14">
        <v>98.96</v>
      </c>
    </row>
    <row r="30" spans="1:2" x14ac:dyDescent="0.25">
      <c r="A30" s="3" t="s">
        <v>44</v>
      </c>
      <c r="B30" s="14">
        <v>98.33</v>
      </c>
    </row>
    <row r="31" spans="1:2" x14ac:dyDescent="0.25">
      <c r="A31" s="3" t="s">
        <v>45</v>
      </c>
      <c r="B31" s="14">
        <v>97.2</v>
      </c>
    </row>
    <row r="32" spans="1:2" x14ac:dyDescent="0.25">
      <c r="A32" s="3" t="s">
        <v>46</v>
      </c>
      <c r="B32" s="14">
        <v>99.05</v>
      </c>
    </row>
    <row r="33" spans="1:2" x14ac:dyDescent="0.25">
      <c r="A33" s="3" t="s">
        <v>47</v>
      </c>
      <c r="B33" s="14">
        <v>98.38</v>
      </c>
    </row>
    <row r="34" spans="1:2" x14ac:dyDescent="0.25">
      <c r="A34" s="3" t="s">
        <v>48</v>
      </c>
      <c r="B34" s="14">
        <v>98.3</v>
      </c>
    </row>
    <row r="35" spans="1:2" x14ac:dyDescent="0.25">
      <c r="A35" s="3" t="s">
        <v>49</v>
      </c>
      <c r="B35" s="14">
        <v>98.85</v>
      </c>
    </row>
    <row r="36" spans="1:2" x14ac:dyDescent="0.25">
      <c r="A36" s="3" t="s">
        <v>50</v>
      </c>
      <c r="B36" s="14">
        <v>98.9</v>
      </c>
    </row>
    <row r="37" spans="1:2" x14ac:dyDescent="0.25">
      <c r="A37" s="3" t="s">
        <v>51</v>
      </c>
      <c r="B37" s="14">
        <v>98.66</v>
      </c>
    </row>
    <row r="38" spans="1:2" x14ac:dyDescent="0.25">
      <c r="A38" s="3" t="s">
        <v>52</v>
      </c>
      <c r="B38" s="14">
        <v>97.8</v>
      </c>
    </row>
    <row r="39" spans="1:2" x14ac:dyDescent="0.25">
      <c r="A39" s="3" t="s">
        <v>53</v>
      </c>
      <c r="B39" s="14">
        <v>98.29</v>
      </c>
    </row>
    <row r="40" spans="1:2" x14ac:dyDescent="0.25">
      <c r="A40" s="3" t="s">
        <v>55</v>
      </c>
      <c r="B40" s="14">
        <v>98.358055555555566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B954-E0B2-4E72-9FAB-AE6A5F451695}">
  <dimension ref="A1:L37"/>
  <sheetViews>
    <sheetView tabSelected="1" workbookViewId="0">
      <selection activeCell="O6" sqref="O6"/>
    </sheetView>
  </sheetViews>
  <sheetFormatPr defaultRowHeight="15" x14ac:dyDescent="0.25"/>
  <cols>
    <col min="1" max="1" width="20.7109375" bestFit="1" customWidth="1"/>
    <col min="2" max="2" width="6.85546875" bestFit="1" customWidth="1"/>
    <col min="3" max="3" width="14.140625" bestFit="1" customWidth="1"/>
    <col min="4" max="4" width="8.5703125" bestFit="1" customWidth="1"/>
    <col min="5" max="5" width="14" bestFit="1" customWidth="1"/>
    <col min="6" max="6" width="9.28515625" bestFit="1" customWidth="1"/>
    <col min="7" max="7" width="15.28515625" bestFit="1" customWidth="1"/>
    <col min="8" max="8" width="19.28515625" bestFit="1" customWidth="1"/>
    <col min="9" max="9" width="17.5703125" bestFit="1" customWidth="1"/>
    <col min="10" max="10" width="14.85546875" bestFit="1" customWidth="1"/>
    <col min="11" max="11" width="14.5703125" bestFit="1" customWidth="1"/>
    <col min="12" max="12" width="13.7109375" bestFit="1" customWidth="1"/>
  </cols>
  <sheetData>
    <row r="1" spans="1:12" ht="18.75" x14ac:dyDescent="0.3">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v>7670</v>
      </c>
      <c r="D2">
        <v>7</v>
      </c>
      <c r="E2">
        <v>7534</v>
      </c>
      <c r="F2">
        <v>129</v>
      </c>
      <c r="G2">
        <v>0.09</v>
      </c>
      <c r="H2">
        <v>98.23</v>
      </c>
      <c r="I2" t="s">
        <v>14</v>
      </c>
      <c r="J2">
        <v>1.68</v>
      </c>
      <c r="K2" t="s">
        <v>15</v>
      </c>
      <c r="L2">
        <v>399001</v>
      </c>
    </row>
    <row r="3" spans="1:12" x14ac:dyDescent="0.25">
      <c r="A3" t="s">
        <v>16</v>
      </c>
      <c r="B3" t="s">
        <v>13</v>
      </c>
      <c r="C3">
        <v>2069770</v>
      </c>
      <c r="D3">
        <v>3128</v>
      </c>
      <c r="E3">
        <v>2052230</v>
      </c>
      <c r="F3">
        <v>14412</v>
      </c>
      <c r="G3">
        <v>0.15</v>
      </c>
      <c r="H3">
        <v>99.15</v>
      </c>
      <c r="I3" t="s">
        <v>15</v>
      </c>
      <c r="J3">
        <v>0.7</v>
      </c>
      <c r="K3" t="s">
        <v>14</v>
      </c>
      <c r="L3">
        <v>91702478</v>
      </c>
    </row>
    <row r="4" spans="1:12" x14ac:dyDescent="0.25">
      <c r="A4" t="s">
        <v>17</v>
      </c>
      <c r="B4" t="s">
        <v>18</v>
      </c>
      <c r="C4">
        <v>55216</v>
      </c>
      <c r="D4">
        <v>42</v>
      </c>
      <c r="E4">
        <v>54894</v>
      </c>
      <c r="F4">
        <v>280</v>
      </c>
      <c r="G4">
        <v>0.08</v>
      </c>
      <c r="H4">
        <v>99.42</v>
      </c>
      <c r="I4" t="s">
        <v>15</v>
      </c>
      <c r="J4">
        <v>0.51</v>
      </c>
      <c r="K4" t="s">
        <v>14</v>
      </c>
      <c r="L4">
        <v>1711947</v>
      </c>
    </row>
    <row r="5" spans="1:12" x14ac:dyDescent="0.25">
      <c r="A5" t="s">
        <v>19</v>
      </c>
      <c r="B5" t="s">
        <v>18</v>
      </c>
      <c r="C5">
        <v>613784</v>
      </c>
      <c r="D5">
        <v>3272</v>
      </c>
      <c r="E5">
        <v>604465</v>
      </c>
      <c r="F5">
        <v>6047</v>
      </c>
      <c r="G5">
        <v>0.53</v>
      </c>
      <c r="H5">
        <v>98.48</v>
      </c>
      <c r="I5" t="s">
        <v>15</v>
      </c>
      <c r="J5">
        <v>0.99</v>
      </c>
      <c r="K5" t="s">
        <v>14</v>
      </c>
      <c r="L5">
        <v>35998752</v>
      </c>
    </row>
    <row r="6" spans="1:12" x14ac:dyDescent="0.25">
      <c r="A6" t="s">
        <v>20</v>
      </c>
      <c r="B6" t="s">
        <v>18</v>
      </c>
      <c r="C6">
        <v>726153</v>
      </c>
      <c r="D6">
        <v>29</v>
      </c>
      <c r="E6">
        <v>716462</v>
      </c>
      <c r="F6">
        <v>9662</v>
      </c>
      <c r="G6">
        <v>0</v>
      </c>
      <c r="H6">
        <v>98.67</v>
      </c>
      <c r="I6" t="s">
        <v>15</v>
      </c>
      <c r="J6">
        <v>1.33</v>
      </c>
      <c r="K6" t="s">
        <v>15</v>
      </c>
      <c r="L6">
        <v>128500364</v>
      </c>
    </row>
    <row r="7" spans="1:12" x14ac:dyDescent="0.25">
      <c r="A7" t="s">
        <v>21</v>
      </c>
      <c r="B7" t="s">
        <v>22</v>
      </c>
      <c r="C7">
        <v>65380</v>
      </c>
      <c r="D7">
        <v>24</v>
      </c>
      <c r="E7">
        <v>64536</v>
      </c>
      <c r="F7">
        <v>820</v>
      </c>
      <c r="G7">
        <v>0.04</v>
      </c>
      <c r="H7">
        <v>98.71</v>
      </c>
      <c r="I7" t="s">
        <v>15</v>
      </c>
      <c r="J7">
        <v>1.25</v>
      </c>
      <c r="K7" t="s">
        <v>14</v>
      </c>
      <c r="L7">
        <v>1158040</v>
      </c>
    </row>
    <row r="8" spans="1:12" x14ac:dyDescent="0.25">
      <c r="A8" t="s">
        <v>23</v>
      </c>
      <c r="B8" t="s">
        <v>18</v>
      </c>
      <c r="C8">
        <v>1006326</v>
      </c>
      <c r="D8">
        <v>230</v>
      </c>
      <c r="E8">
        <v>992508</v>
      </c>
      <c r="F8">
        <v>13588</v>
      </c>
      <c r="G8">
        <v>0.02</v>
      </c>
      <c r="H8">
        <v>98.63</v>
      </c>
      <c r="I8" t="s">
        <v>15</v>
      </c>
      <c r="J8">
        <v>1.35</v>
      </c>
      <c r="K8" t="s">
        <v>15</v>
      </c>
      <c r="L8">
        <v>32199722</v>
      </c>
    </row>
    <row r="9" spans="1:12" x14ac:dyDescent="0.25">
      <c r="A9" t="s">
        <v>24</v>
      </c>
      <c r="B9" t="s">
        <v>25</v>
      </c>
      <c r="C9">
        <v>10682</v>
      </c>
      <c r="D9">
        <v>0</v>
      </c>
      <c r="E9">
        <v>10678</v>
      </c>
      <c r="F9">
        <v>4</v>
      </c>
      <c r="G9">
        <v>0</v>
      </c>
      <c r="H9">
        <v>99.96</v>
      </c>
      <c r="I9" t="s">
        <v>15</v>
      </c>
      <c r="J9">
        <v>0.04</v>
      </c>
      <c r="K9" t="s">
        <v>14</v>
      </c>
      <c r="L9">
        <v>773997</v>
      </c>
    </row>
    <row r="10" spans="1:12" x14ac:dyDescent="0.25">
      <c r="A10" t="s">
        <v>26</v>
      </c>
      <c r="B10" t="s">
        <v>22</v>
      </c>
      <c r="C10">
        <v>1440388</v>
      </c>
      <c r="D10">
        <v>361</v>
      </c>
      <c r="E10">
        <v>1414934</v>
      </c>
      <c r="F10">
        <v>25093</v>
      </c>
      <c r="G10">
        <v>0.03</v>
      </c>
      <c r="H10">
        <v>98.23</v>
      </c>
      <c r="I10" t="s">
        <v>14</v>
      </c>
      <c r="J10">
        <v>1.74</v>
      </c>
      <c r="K10" t="s">
        <v>15</v>
      </c>
      <c r="L10">
        <v>19301096</v>
      </c>
    </row>
    <row r="11" spans="1:12" x14ac:dyDescent="0.25">
      <c r="A11" t="s">
        <v>27</v>
      </c>
      <c r="B11" t="s">
        <v>25</v>
      </c>
      <c r="C11">
        <v>178467</v>
      </c>
      <c r="D11">
        <v>263</v>
      </c>
      <c r="E11">
        <v>174830</v>
      </c>
      <c r="F11">
        <v>3374</v>
      </c>
      <c r="G11">
        <v>0.15</v>
      </c>
      <c r="H11">
        <v>97.96</v>
      </c>
      <c r="I11" t="s">
        <v>14</v>
      </c>
      <c r="J11">
        <v>1.89</v>
      </c>
      <c r="K11" t="s">
        <v>15</v>
      </c>
      <c r="L11">
        <v>1521992</v>
      </c>
    </row>
    <row r="12" spans="1:12" x14ac:dyDescent="0.25">
      <c r="A12" t="s">
        <v>28</v>
      </c>
      <c r="B12" t="s">
        <v>25</v>
      </c>
      <c r="C12">
        <v>826924</v>
      </c>
      <c r="D12">
        <v>226</v>
      </c>
      <c r="E12">
        <v>816608</v>
      </c>
      <c r="F12">
        <v>10090</v>
      </c>
      <c r="G12">
        <v>0.03</v>
      </c>
      <c r="H12">
        <v>98.75</v>
      </c>
      <c r="I12" t="s">
        <v>15</v>
      </c>
      <c r="J12">
        <v>1.22</v>
      </c>
      <c r="K12" t="s">
        <v>14</v>
      </c>
      <c r="L12">
        <v>70400153</v>
      </c>
    </row>
    <row r="13" spans="1:12" x14ac:dyDescent="0.25">
      <c r="A13" t="s">
        <v>29</v>
      </c>
      <c r="B13" t="s">
        <v>22</v>
      </c>
      <c r="C13">
        <v>771420</v>
      </c>
      <c r="D13">
        <v>140</v>
      </c>
      <c r="E13">
        <v>761230</v>
      </c>
      <c r="F13">
        <v>10050</v>
      </c>
      <c r="G13">
        <v>0.02</v>
      </c>
      <c r="H13">
        <v>98.68</v>
      </c>
      <c r="I13" t="s">
        <v>15</v>
      </c>
      <c r="J13">
        <v>1.3</v>
      </c>
      <c r="K13" t="s">
        <v>15</v>
      </c>
      <c r="L13">
        <v>28900667</v>
      </c>
    </row>
    <row r="14" spans="1:12" x14ac:dyDescent="0.25">
      <c r="A14" t="s">
        <v>30</v>
      </c>
      <c r="B14" t="s">
        <v>22</v>
      </c>
      <c r="C14">
        <v>225712</v>
      </c>
      <c r="D14">
        <v>1100</v>
      </c>
      <c r="E14">
        <v>220800</v>
      </c>
      <c r="F14">
        <v>3812</v>
      </c>
      <c r="G14">
        <v>0.49</v>
      </c>
      <c r="H14">
        <v>97.82</v>
      </c>
      <c r="I14" t="s">
        <v>14</v>
      </c>
      <c r="J14">
        <v>1.69</v>
      </c>
      <c r="K14" t="s">
        <v>15</v>
      </c>
      <c r="L14">
        <v>7503010</v>
      </c>
    </row>
    <row r="15" spans="1:12" x14ac:dyDescent="0.25">
      <c r="A15" t="s">
        <v>31</v>
      </c>
      <c r="B15" t="s">
        <v>22</v>
      </c>
      <c r="C15">
        <v>334006</v>
      </c>
      <c r="D15">
        <v>1450</v>
      </c>
      <c r="E15">
        <v>328108</v>
      </c>
      <c r="F15">
        <v>4448</v>
      </c>
      <c r="G15">
        <v>0.43</v>
      </c>
      <c r="H15">
        <v>98.23</v>
      </c>
      <c r="I15" t="s">
        <v>14</v>
      </c>
      <c r="J15">
        <v>1.33</v>
      </c>
      <c r="K15" t="s">
        <v>15</v>
      </c>
      <c r="L15">
        <v>14999397</v>
      </c>
    </row>
    <row r="16" spans="1:12" x14ac:dyDescent="0.25">
      <c r="A16" t="s">
        <v>32</v>
      </c>
      <c r="B16" t="s">
        <v>18</v>
      </c>
      <c r="C16">
        <v>348992</v>
      </c>
      <c r="D16">
        <v>141</v>
      </c>
      <c r="E16">
        <v>343713</v>
      </c>
      <c r="F16">
        <v>5138</v>
      </c>
      <c r="G16">
        <v>0.04</v>
      </c>
      <c r="H16">
        <v>98.49</v>
      </c>
      <c r="I16" t="s">
        <v>15</v>
      </c>
      <c r="J16">
        <v>1.47</v>
      </c>
      <c r="K16" t="s">
        <v>15</v>
      </c>
      <c r="L16">
        <v>40100376</v>
      </c>
    </row>
    <row r="17" spans="1:12" x14ac:dyDescent="0.25">
      <c r="A17" t="s">
        <v>33</v>
      </c>
      <c r="B17" t="s">
        <v>13</v>
      </c>
      <c r="C17">
        <v>2991614</v>
      </c>
      <c r="D17">
        <v>8056</v>
      </c>
      <c r="E17">
        <v>2945415</v>
      </c>
      <c r="F17">
        <v>38143</v>
      </c>
      <c r="G17">
        <v>0.27</v>
      </c>
      <c r="H17">
        <v>98.46</v>
      </c>
      <c r="I17" t="s">
        <v>15</v>
      </c>
      <c r="J17">
        <v>1.27</v>
      </c>
      <c r="K17" t="s">
        <v>14</v>
      </c>
      <c r="L17">
        <v>69599762</v>
      </c>
    </row>
    <row r="18" spans="1:12" x14ac:dyDescent="0.25">
      <c r="A18" t="s">
        <v>34</v>
      </c>
      <c r="B18" t="s">
        <v>13</v>
      </c>
      <c r="C18">
        <v>5055224</v>
      </c>
      <c r="D18">
        <v>69258</v>
      </c>
      <c r="E18">
        <v>4950281</v>
      </c>
      <c r="F18">
        <v>35685</v>
      </c>
      <c r="G18">
        <v>1.37</v>
      </c>
      <c r="H18">
        <v>97.92</v>
      </c>
      <c r="I18" t="s">
        <v>14</v>
      </c>
      <c r="J18">
        <v>0.71</v>
      </c>
      <c r="K18" t="s">
        <v>14</v>
      </c>
      <c r="L18">
        <v>34698876</v>
      </c>
    </row>
    <row r="19" spans="1:12" x14ac:dyDescent="0.25">
      <c r="A19" t="s">
        <v>35</v>
      </c>
      <c r="B19" t="s">
        <v>22</v>
      </c>
      <c r="C19">
        <v>21148</v>
      </c>
      <c r="D19">
        <v>154</v>
      </c>
      <c r="E19">
        <v>20783</v>
      </c>
      <c r="F19">
        <v>211</v>
      </c>
      <c r="G19">
        <v>0.73</v>
      </c>
      <c r="H19">
        <v>98.27</v>
      </c>
      <c r="I19" t="s">
        <v>14</v>
      </c>
      <c r="J19">
        <v>1</v>
      </c>
      <c r="K19" t="s">
        <v>14</v>
      </c>
      <c r="L19">
        <v>290492</v>
      </c>
    </row>
    <row r="20" spans="1:12" x14ac:dyDescent="0.25">
      <c r="A20" t="s">
        <v>36</v>
      </c>
      <c r="B20" t="s">
        <v>13</v>
      </c>
      <c r="C20">
        <v>10365</v>
      </c>
      <c r="D20">
        <v>0</v>
      </c>
      <c r="E20">
        <v>10314</v>
      </c>
      <c r="F20">
        <v>51</v>
      </c>
      <c r="G20">
        <v>0</v>
      </c>
      <c r="H20">
        <v>99.51</v>
      </c>
      <c r="I20" t="s">
        <v>15</v>
      </c>
      <c r="J20">
        <v>0.49</v>
      </c>
      <c r="K20" t="s">
        <v>14</v>
      </c>
      <c r="L20">
        <v>66001</v>
      </c>
    </row>
    <row r="21" spans="1:12" x14ac:dyDescent="0.25">
      <c r="A21" t="s">
        <v>37</v>
      </c>
      <c r="B21" t="s">
        <v>25</v>
      </c>
      <c r="C21">
        <v>792956</v>
      </c>
      <c r="D21">
        <v>75</v>
      </c>
      <c r="E21">
        <v>782357</v>
      </c>
      <c r="F21">
        <v>10524</v>
      </c>
      <c r="G21">
        <v>0.01</v>
      </c>
      <c r="H21">
        <v>98.66</v>
      </c>
      <c r="I21" t="s">
        <v>15</v>
      </c>
      <c r="J21">
        <v>1.33</v>
      </c>
      <c r="K21" t="s">
        <v>15</v>
      </c>
      <c r="L21">
        <v>85002417</v>
      </c>
    </row>
    <row r="22" spans="1:12" x14ac:dyDescent="0.25">
      <c r="A22" t="s">
        <v>38</v>
      </c>
      <c r="B22" t="s">
        <v>25</v>
      </c>
      <c r="C22">
        <v>6623344</v>
      </c>
      <c r="D22">
        <v>15866</v>
      </c>
      <c r="E22">
        <v>6466913</v>
      </c>
      <c r="F22">
        <v>140565</v>
      </c>
      <c r="G22">
        <v>0.24</v>
      </c>
      <c r="H22">
        <v>97.64</v>
      </c>
      <c r="I22" t="s">
        <v>14</v>
      </c>
      <c r="J22">
        <v>2.12</v>
      </c>
      <c r="K22" t="s">
        <v>15</v>
      </c>
      <c r="L22">
        <v>124904071</v>
      </c>
    </row>
    <row r="23" spans="1:12" x14ac:dyDescent="0.25">
      <c r="A23" t="s">
        <v>39</v>
      </c>
      <c r="B23" t="s">
        <v>18</v>
      </c>
      <c r="C23">
        <v>124432</v>
      </c>
      <c r="D23">
        <v>799</v>
      </c>
      <c r="E23">
        <v>121687</v>
      </c>
      <c r="F23">
        <v>1946</v>
      </c>
      <c r="G23">
        <v>0.64</v>
      </c>
      <c r="H23">
        <v>97.79</v>
      </c>
      <c r="I23" t="s">
        <v>14</v>
      </c>
      <c r="J23">
        <v>1.56</v>
      </c>
      <c r="K23" t="s">
        <v>15</v>
      </c>
      <c r="L23">
        <v>3436948</v>
      </c>
    </row>
    <row r="24" spans="1:12" x14ac:dyDescent="0.25">
      <c r="A24" t="s">
        <v>40</v>
      </c>
      <c r="B24" t="s">
        <v>18</v>
      </c>
      <c r="C24">
        <v>84013</v>
      </c>
      <c r="D24">
        <v>277</v>
      </c>
      <c r="E24">
        <v>82274</v>
      </c>
      <c r="F24">
        <v>1462</v>
      </c>
      <c r="G24">
        <v>0.33</v>
      </c>
      <c r="H24">
        <v>97.93</v>
      </c>
      <c r="I24" t="s">
        <v>14</v>
      </c>
      <c r="J24">
        <v>1.74</v>
      </c>
      <c r="K24" t="s">
        <v>15</v>
      </c>
      <c r="L24">
        <v>3772103</v>
      </c>
    </row>
    <row r="25" spans="1:12" x14ac:dyDescent="0.25">
      <c r="A25" t="s">
        <v>41</v>
      </c>
      <c r="B25" t="s">
        <v>18</v>
      </c>
      <c r="C25">
        <v>128604</v>
      </c>
      <c r="D25">
        <v>5651</v>
      </c>
      <c r="E25">
        <v>122494</v>
      </c>
      <c r="F25">
        <v>459</v>
      </c>
      <c r="G25">
        <v>4.3899999999999997</v>
      </c>
      <c r="H25">
        <v>95.25</v>
      </c>
      <c r="I25" t="s">
        <v>14</v>
      </c>
      <c r="J25">
        <v>0.36</v>
      </c>
      <c r="K25" t="s">
        <v>14</v>
      </c>
      <c r="L25">
        <v>1308967</v>
      </c>
    </row>
    <row r="26" spans="1:12" x14ac:dyDescent="0.25">
      <c r="A26" t="s">
        <v>42</v>
      </c>
      <c r="B26" t="s">
        <v>18</v>
      </c>
      <c r="C26">
        <v>31978</v>
      </c>
      <c r="D26">
        <v>163</v>
      </c>
      <c r="E26">
        <v>31123</v>
      </c>
      <c r="F26">
        <v>692</v>
      </c>
      <c r="G26">
        <v>0.51</v>
      </c>
      <c r="H26">
        <v>97.33</v>
      </c>
      <c r="I26" t="s">
        <v>14</v>
      </c>
      <c r="J26">
        <v>2.16</v>
      </c>
      <c r="K26" t="s">
        <v>15</v>
      </c>
      <c r="L26">
        <v>2073074</v>
      </c>
    </row>
    <row r="27" spans="1:12" x14ac:dyDescent="0.25">
      <c r="A27" t="s">
        <v>43</v>
      </c>
      <c r="B27" t="s">
        <v>18</v>
      </c>
      <c r="C27">
        <v>1045209</v>
      </c>
      <c r="D27">
        <v>2534</v>
      </c>
      <c r="E27">
        <v>1034300</v>
      </c>
      <c r="F27">
        <v>8375</v>
      </c>
      <c r="G27">
        <v>0.24</v>
      </c>
      <c r="H27">
        <v>98.96</v>
      </c>
      <c r="I27" t="s">
        <v>15</v>
      </c>
      <c r="J27">
        <v>0.8</v>
      </c>
      <c r="K27" t="s">
        <v>14</v>
      </c>
      <c r="L27">
        <v>47099270</v>
      </c>
    </row>
    <row r="28" spans="1:12" x14ac:dyDescent="0.25">
      <c r="A28" t="s">
        <v>44</v>
      </c>
      <c r="B28" t="s">
        <v>13</v>
      </c>
      <c r="C28">
        <v>128401</v>
      </c>
      <c r="D28">
        <v>275</v>
      </c>
      <c r="E28">
        <v>126263</v>
      </c>
      <c r="F28">
        <v>1863</v>
      </c>
      <c r="G28">
        <v>0.21</v>
      </c>
      <c r="H28">
        <v>98.33</v>
      </c>
      <c r="I28" t="s">
        <v>14</v>
      </c>
      <c r="J28">
        <v>1.45</v>
      </c>
      <c r="K28" t="s">
        <v>15</v>
      </c>
      <c r="L28">
        <v>1646050</v>
      </c>
    </row>
    <row r="29" spans="1:12" x14ac:dyDescent="0.25">
      <c r="A29" t="s">
        <v>45</v>
      </c>
      <c r="B29" t="s">
        <v>22</v>
      </c>
      <c r="C29">
        <v>602778</v>
      </c>
      <c r="D29">
        <v>318</v>
      </c>
      <c r="E29">
        <v>585889</v>
      </c>
      <c r="F29">
        <v>16571</v>
      </c>
      <c r="G29">
        <v>0.05</v>
      </c>
      <c r="H29">
        <v>97.2</v>
      </c>
      <c r="I29" t="s">
        <v>14</v>
      </c>
      <c r="J29">
        <v>2.75</v>
      </c>
      <c r="K29" t="s">
        <v>15</v>
      </c>
      <c r="L29">
        <v>30501026</v>
      </c>
    </row>
    <row r="30" spans="1:12" x14ac:dyDescent="0.25">
      <c r="A30" t="s">
        <v>46</v>
      </c>
      <c r="B30" t="s">
        <v>25</v>
      </c>
      <c r="C30">
        <v>954503</v>
      </c>
      <c r="D30">
        <v>71</v>
      </c>
      <c r="E30">
        <v>945478</v>
      </c>
      <c r="F30">
        <v>8954</v>
      </c>
      <c r="G30">
        <v>0.01</v>
      </c>
      <c r="H30">
        <v>99.05</v>
      </c>
      <c r="I30" t="s">
        <v>15</v>
      </c>
      <c r="J30">
        <v>0.94</v>
      </c>
      <c r="K30" t="s">
        <v>14</v>
      </c>
      <c r="L30">
        <v>79502477</v>
      </c>
    </row>
    <row r="31" spans="1:12" x14ac:dyDescent="0.25">
      <c r="A31" t="s">
        <v>47</v>
      </c>
      <c r="B31" t="s">
        <v>18</v>
      </c>
      <c r="C31">
        <v>32096</v>
      </c>
      <c r="D31">
        <v>121</v>
      </c>
      <c r="E31">
        <v>31575</v>
      </c>
      <c r="F31">
        <v>400</v>
      </c>
      <c r="G31">
        <v>0.38</v>
      </c>
      <c r="H31">
        <v>98.38</v>
      </c>
      <c r="I31" t="s">
        <v>15</v>
      </c>
      <c r="J31">
        <v>1.25</v>
      </c>
      <c r="K31" t="s">
        <v>14</v>
      </c>
      <c r="L31">
        <v>658019</v>
      </c>
    </row>
    <row r="32" spans="1:12" x14ac:dyDescent="0.25">
      <c r="A32" t="s">
        <v>48</v>
      </c>
      <c r="B32" t="s">
        <v>13</v>
      </c>
      <c r="C32">
        <v>2714025</v>
      </c>
      <c r="D32">
        <v>9751</v>
      </c>
      <c r="E32">
        <v>2668001</v>
      </c>
      <c r="F32">
        <v>36273</v>
      </c>
      <c r="G32">
        <v>0.36</v>
      </c>
      <c r="H32">
        <v>98.3</v>
      </c>
      <c r="I32" t="s">
        <v>14</v>
      </c>
      <c r="J32">
        <v>1.34</v>
      </c>
      <c r="K32" t="s">
        <v>15</v>
      </c>
      <c r="L32">
        <v>83697770</v>
      </c>
    </row>
    <row r="33" spans="1:12" x14ac:dyDescent="0.25">
      <c r="A33" t="s">
        <v>49</v>
      </c>
      <c r="B33" t="s">
        <v>13</v>
      </c>
      <c r="C33">
        <v>673469</v>
      </c>
      <c r="D33">
        <v>3741</v>
      </c>
      <c r="E33">
        <v>665755</v>
      </c>
      <c r="F33">
        <v>3973</v>
      </c>
      <c r="G33">
        <v>0.56000000000000005</v>
      </c>
      <c r="H33">
        <v>98.85</v>
      </c>
      <c r="I33" t="s">
        <v>15</v>
      </c>
      <c r="J33">
        <v>0.59</v>
      </c>
      <c r="K33" t="s">
        <v>14</v>
      </c>
      <c r="L33">
        <v>38157311</v>
      </c>
    </row>
    <row r="34" spans="1:12" x14ac:dyDescent="0.25">
      <c r="A34" t="s">
        <v>50</v>
      </c>
      <c r="B34" t="s">
        <v>18</v>
      </c>
      <c r="C34">
        <v>84665</v>
      </c>
      <c r="D34">
        <v>116</v>
      </c>
      <c r="E34">
        <v>83732</v>
      </c>
      <c r="F34">
        <v>817</v>
      </c>
      <c r="G34">
        <v>0.14000000000000001</v>
      </c>
      <c r="H34">
        <v>98.9</v>
      </c>
      <c r="I34" t="s">
        <v>15</v>
      </c>
      <c r="J34">
        <v>0.96</v>
      </c>
      <c r="K34" t="s">
        <v>14</v>
      </c>
      <c r="L34">
        <v>4184959</v>
      </c>
    </row>
    <row r="35" spans="1:12" x14ac:dyDescent="0.25">
      <c r="A35" t="s">
        <v>51</v>
      </c>
      <c r="B35" t="s">
        <v>22</v>
      </c>
      <c r="C35">
        <v>1710261</v>
      </c>
      <c r="D35">
        <v>90</v>
      </c>
      <c r="E35">
        <v>1687262</v>
      </c>
      <c r="F35">
        <v>22909</v>
      </c>
      <c r="G35">
        <v>0.01</v>
      </c>
      <c r="H35">
        <v>98.66</v>
      </c>
      <c r="I35" t="s">
        <v>15</v>
      </c>
      <c r="J35">
        <v>1.34</v>
      </c>
      <c r="K35" t="s">
        <v>15</v>
      </c>
      <c r="L35">
        <v>231502578</v>
      </c>
    </row>
    <row r="36" spans="1:12" x14ac:dyDescent="0.25">
      <c r="A36" t="s">
        <v>52</v>
      </c>
      <c r="B36" t="s">
        <v>22</v>
      </c>
      <c r="C36">
        <v>344014</v>
      </c>
      <c r="D36">
        <v>158</v>
      </c>
      <c r="E36">
        <v>336453</v>
      </c>
      <c r="F36">
        <v>7403</v>
      </c>
      <c r="G36">
        <v>0.05</v>
      </c>
      <c r="H36">
        <v>97.8</v>
      </c>
      <c r="I36" t="s">
        <v>14</v>
      </c>
      <c r="J36">
        <v>2.15</v>
      </c>
      <c r="K36" t="s">
        <v>15</v>
      </c>
      <c r="L36">
        <v>11700099</v>
      </c>
    </row>
    <row r="37" spans="1:12" x14ac:dyDescent="0.25">
      <c r="A37" t="s">
        <v>53</v>
      </c>
      <c r="B37" t="s">
        <v>18</v>
      </c>
      <c r="C37">
        <v>1603318</v>
      </c>
      <c r="D37">
        <v>8031</v>
      </c>
      <c r="E37">
        <v>1575980</v>
      </c>
      <c r="F37">
        <v>19307</v>
      </c>
      <c r="G37">
        <v>0.5</v>
      </c>
      <c r="H37">
        <v>98.29</v>
      </c>
      <c r="I37" t="s">
        <v>14</v>
      </c>
      <c r="J37">
        <v>1.2</v>
      </c>
      <c r="K37" t="s">
        <v>14</v>
      </c>
      <c r="L37">
        <v>100896618</v>
      </c>
    </row>
  </sheetData>
  <sortState xmlns:xlrd2="http://schemas.microsoft.com/office/spreadsheetml/2017/richdata2" ref="A2:L37">
    <sortCondition ref="A1:A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Total cases</vt:lpstr>
      <vt:lpstr>Recovered</vt:lpstr>
      <vt:lpstr>Death</vt:lpstr>
      <vt:lpstr>Active</vt:lpstr>
      <vt:lpstr>Active &amp; Death Cases</vt:lpstr>
      <vt:lpstr>Cases by zone</vt:lpstr>
      <vt:lpstr>Total &amp; Discharged</vt:lpstr>
      <vt:lpstr>Death Average</vt:lpstr>
      <vt:lpstr>Recovered Average</vt:lpstr>
      <vt:lpstr>Sheet1</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Krishika Chauhan</dc:creator>
  <cp:lastModifiedBy>prabhjot kaur</cp:lastModifiedBy>
  <cp:lastPrinted>2026-03-28T19:30:14Z</cp:lastPrinted>
  <dcterms:created xsi:type="dcterms:W3CDTF">2026-03-24T04:38:18Z</dcterms:created>
  <dcterms:modified xsi:type="dcterms:W3CDTF">2026-03-28T19:31:46Z</dcterms:modified>
</cp:coreProperties>
</file>